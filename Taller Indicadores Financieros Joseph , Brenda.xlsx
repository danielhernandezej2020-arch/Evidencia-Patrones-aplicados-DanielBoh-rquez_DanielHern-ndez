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7" lowestEdited="7" rupBuild="10430"/>
  <workbookPr defaultThemeVersion="166925"/>
  <bookViews>
    <workbookView xWindow="-108" yWindow="-108" windowWidth="23256" windowHeight="12456" activeTab="3"/>
  </bookViews>
  <sheets>
    <sheet name="Nombres" sheetId="1" r:id="rId1"/>
    <sheet name="Estado Situación Financiera" sheetId="2" r:id="rId2"/>
    <sheet name="Estado de Resultados" sheetId="3" r:id="rId3"/>
    <sheet name="Indicadores Financieros" sheetId="4" r:id="rId4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<sst xmlns="http://schemas.openxmlformats.org/spreadsheetml/2006/main" uniqueCount="137" count="137">
  <si>
    <t>Estado de Situación Financiera</t>
  </si>
  <si>
    <t>(Cifras expresadas en pesos colombianos – COP)</t>
  </si>
  <si>
    <t>Concepto</t>
  </si>
  <si>
    <t>Nota</t>
  </si>
  <si>
    <r>
      <rPr>
        <b/>
        <sz val="10"/>
        <color rgb="FF000000"/>
        <rFont val="Times New Roman"/>
      </rPr>
      <t>Al 31 de diciembre</t>
    </r>
    <r>
      <rPr>
        <b/>
        <sz val="11"/>
        <color rgb="FF000000"/>
        <rFont val="Times New Roman"/>
      </rPr>
      <t xml:space="preserve">
2025</t>
    </r>
  </si>
  <si>
    <r>
      <rPr>
        <b/>
        <sz val="10"/>
        <color rgb="FF000000"/>
        <rFont val="Times New Roman"/>
      </rPr>
      <t>Al 31 de diciembre</t>
    </r>
    <r>
      <rPr>
        <b/>
        <sz val="11"/>
        <color rgb="FF000000"/>
        <rFont val="Times New Roman"/>
      </rPr>
      <t xml:space="preserve">
2024</t>
    </r>
  </si>
  <si>
    <r>
      <rPr>
        <b/>
        <sz val="10"/>
        <color rgb="FF000000"/>
        <rFont val="Times New Roman"/>
      </rPr>
      <t>Al 31 de diciembre</t>
    </r>
    <r>
      <rPr>
        <b/>
        <sz val="11"/>
        <color rgb="FF000000"/>
        <rFont val="Times New Roman"/>
      </rPr>
      <t xml:space="preserve">
2023</t>
    </r>
  </si>
  <si>
    <t>Activos</t>
  </si>
  <si>
    <t>$</t>
  </si>
  <si>
    <t>Activos corrientes</t>
  </si>
  <si>
    <t>Efectivo y equivalentes de efectivo</t>
  </si>
  <si>
    <t>Cuentas por cobrar</t>
  </si>
  <si>
    <t>Inventarios</t>
  </si>
  <si>
    <t>Otros activos corrientes</t>
  </si>
  <si>
    <t>Total activos corrientes</t>
  </si>
  <si>
    <t>Activos no corrientes</t>
  </si>
  <si>
    <t>Propiedad, planta y equipo</t>
  </si>
  <si>
    <t>Recursos naturales (títulos mineros)</t>
  </si>
  <si>
    <t>Activos por derecho de uso</t>
  </si>
  <si>
    <t>Intangibles</t>
  </si>
  <si>
    <t>Goodwill</t>
  </si>
  <si>
    <t>Otros activos no corrientes</t>
  </si>
  <si>
    <t>Total activos no corrientes</t>
  </si>
  <si>
    <t>Total activos</t>
  </si>
  <si>
    <t>Pasivos</t>
  </si>
  <si>
    <t>Pasivos corrientes</t>
  </si>
  <si>
    <t>Impuestos por pagar</t>
  </si>
  <si>
    <t>Total pasivos corrientes</t>
  </si>
  <si>
    <t>Pasivos no corrientes</t>
  </si>
  <si>
    <t>Obligaciones financieras (Aportes sociales)</t>
  </si>
  <si>
    <t>Total pasivos no corrientes</t>
  </si>
  <si>
    <t>Total pasivos</t>
  </si>
  <si>
    <t>Patrimonio</t>
  </si>
  <si>
    <t>Reserva legal</t>
  </si>
  <si>
    <t>Resultados acumulados</t>
  </si>
  <si>
    <t>Revalorización del patrimonio (ORI)</t>
  </si>
  <si>
    <t>Total patrimonio</t>
  </si>
  <si>
    <t>Total pasivos + patrimonio</t>
  </si>
  <si>
    <t>Las notas adjuntas son parte integral de los estados financieros</t>
  </si>
  <si>
    <t>Estado de Resultados Integral</t>
  </si>
  <si>
    <t>Ingresos Operacionales</t>
  </si>
  <si>
    <t>Costos de ventas</t>
  </si>
  <si>
    <t>Resultado bruto</t>
  </si>
  <si>
    <t>Gastos operacionales</t>
  </si>
  <si>
    <t>Gastos administrativos</t>
  </si>
  <si>
    <t>Gastos operación minera</t>
  </si>
  <si>
    <t>Depreciación y amortización</t>
  </si>
  <si>
    <t>Resultado operacional</t>
  </si>
  <si>
    <t>Ingresos No Operacionales</t>
  </si>
  <si>
    <t>Gastos No Operacionales</t>
  </si>
  <si>
    <t>Resultado antes de impuestos</t>
  </si>
  <si>
    <t>Impuestos y Complementarios</t>
  </si>
  <si>
    <t>Excedente neto</t>
  </si>
  <si>
    <t>Apropiación reserva legal (10%)</t>
  </si>
  <si>
    <t>Resultado neto del ejercicio</t>
  </si>
  <si>
    <t>C M</t>
  </si>
  <si>
    <t>NIT.9000000000-9</t>
  </si>
  <si>
    <t>Bucaramabnga Santander Colombia</t>
  </si>
  <si>
    <t>Estudiante 1</t>
  </si>
  <si>
    <t>C.C.1</t>
  </si>
  <si>
    <t>Estudiante 2</t>
  </si>
  <si>
    <t>C.C.2</t>
  </si>
  <si>
    <t xml:space="preserve">                                     Representante Legal                                                               Contador Público</t>
  </si>
  <si>
    <t>Obligaciones financieras</t>
  </si>
  <si>
    <t>RAZÓN CORRIENTE</t>
  </si>
  <si>
    <t>=</t>
  </si>
  <si>
    <t>RPA(RATIO DE PRUEBA ACIDA)</t>
  </si>
  <si>
    <t>CT(CAPITAL DE TRABAJO)</t>
  </si>
  <si>
    <t>ROTACIÓN DE CUENTAS POR COBRAR</t>
  </si>
  <si>
    <t>DÍAS DE CARTERA A MANO</t>
  </si>
  <si>
    <t>ROTACIÓN DE INVENTARIOS</t>
  </si>
  <si>
    <t>DIAS DE ROTACIÓN</t>
  </si>
  <si>
    <t>ROTACIÓN DE ACTIVOS</t>
  </si>
  <si>
    <t xml:space="preserve">ROTACIÓN CUENTAS POR PAGAR </t>
  </si>
  <si>
    <t>ENDEUDAMIENTO TOTAL</t>
  </si>
  <si>
    <t>ENDEDUDAMIENTO FINANCIERO</t>
  </si>
  <si>
    <t>COBERTURA DE INTERESES</t>
  </si>
  <si>
    <r>
      <rPr>
        <b/>
        <i/>
        <sz val="11"/>
        <color indexed="8"/>
        <rFont val="Arial"/>
      </rPr>
      <t xml:space="preserve">ROA - </t>
    </r>
    <r>
      <rPr>
        <i/>
        <sz val="10"/>
        <color indexed="8"/>
        <rFont val="Arial"/>
      </rPr>
      <t>RENTABILIDAD GENERAL</t>
    </r>
  </si>
  <si>
    <r>
      <rPr>
        <b/>
        <i/>
        <sz val="11"/>
        <color indexed="8"/>
        <rFont val="Arial"/>
      </rPr>
      <t xml:space="preserve">ROE </t>
    </r>
    <r>
      <rPr>
        <i/>
        <sz val="10"/>
        <color indexed="8"/>
        <rFont val="Arial"/>
      </rPr>
      <t>-RATIO DE CAPITAL - RENTABILIDAD DE CAPITAL</t>
    </r>
  </si>
  <si>
    <r>
      <rPr>
        <b/>
        <i/>
        <sz val="11"/>
        <color indexed="8"/>
        <rFont val="Arial"/>
      </rPr>
      <t xml:space="preserve">ROI </t>
    </r>
    <r>
      <rPr>
        <i/>
        <sz val="10"/>
        <color indexed="8"/>
        <rFont val="Arial"/>
      </rPr>
      <t>- RENTABILIDAD DE VENTAS</t>
    </r>
  </si>
  <si>
    <r>
      <rPr>
        <b/>
        <i/>
        <sz val="11"/>
        <color indexed="8"/>
        <rFont val="Arial"/>
      </rPr>
      <t xml:space="preserve">ROS </t>
    </r>
    <r>
      <rPr>
        <i/>
        <sz val="10"/>
        <color indexed="8"/>
        <rFont val="Arial"/>
      </rPr>
      <t>- RENTABILIDAD DE VENTAS</t>
    </r>
  </si>
  <si>
    <t xml:space="preserve">INDICE DUPONT </t>
  </si>
  <si>
    <t>Bucaramanga Santander Colombia</t>
  </si>
  <si>
    <t>FORMULA</t>
  </si>
  <si>
    <t>RESULTADO</t>
  </si>
  <si>
    <t xml:space="preserve">INTERPRETACIÓN </t>
  </si>
  <si>
    <t>ANÁLISIS VERTICAL</t>
  </si>
  <si>
    <t>ANÁLISIS HORIZONTAL</t>
  </si>
  <si>
    <t>DIC 2025 %</t>
  </si>
  <si>
    <t>DIC 2024 %</t>
  </si>
  <si>
    <t>VARIABLE ABSOLUTA</t>
  </si>
  <si>
    <t>VARIABLE RELATIVA %</t>
  </si>
  <si>
    <t xml:space="preserve">Angelica Sofia Diaz Salamanca </t>
  </si>
  <si>
    <t>Patrimonio neto</t>
  </si>
  <si>
    <t>Activo corriente</t>
  </si>
  <si>
    <t>Pasivo corriente</t>
  </si>
  <si>
    <t>La empresa tiene alta capacidad para pagar sus obligaciones a corto plazo.</t>
  </si>
  <si>
    <t>Activo corriente - Inventarios</t>
  </si>
  <si>
    <t>La empresa puede cubrir sus deudas corrientes sin vender inventarios.</t>
  </si>
  <si>
    <t>Activo corriente - Pasivo corriente</t>
  </si>
  <si>
    <t>La empresa posee liquidez suficiente para operar.</t>
  </si>
  <si>
    <t>Ventas</t>
  </si>
  <si>
    <t>La cartera se recupera aproximadamente 3 veces al año.</t>
  </si>
  <si>
    <t>veces</t>
  </si>
  <si>
    <t xml:space="preserve">365 dias </t>
  </si>
  <si>
    <t>Rotación de cuentas por cobrar</t>
  </si>
  <si>
    <t>La empresa tarda cerca de 106 días en cobrar.</t>
  </si>
  <si>
    <t>Costos de venta</t>
  </si>
  <si>
    <t>Inventario</t>
  </si>
  <si>
    <t>El inventario rota lentamente durante el año.</t>
  </si>
  <si>
    <t>365 dias</t>
  </si>
  <si>
    <t>Rotacion de inventarios</t>
  </si>
  <si>
    <t>El inventario tarda alrededor de 259 días en venderse.</t>
  </si>
  <si>
    <t>Activos totales</t>
  </si>
  <si>
    <t>Los activos generan pocas ventas respecto a su valor.</t>
  </si>
  <si>
    <t>Cuentas por pagar</t>
  </si>
  <si>
    <t>La empresa paga aproximadamente 10 veces al año sus cuentas</t>
  </si>
  <si>
    <t>Pasivo total</t>
  </si>
  <si>
    <t xml:space="preserve">Activo total </t>
  </si>
  <si>
    <t>La empresa tiene muy bajo nivel de endeudamiento.</t>
  </si>
  <si>
    <t>Utilidad operacional</t>
  </si>
  <si>
    <t>Gastos financieros</t>
  </si>
  <si>
    <t>Inversion total</t>
  </si>
  <si>
    <t>Utilidad neta</t>
  </si>
  <si>
    <t>ROS * Rotación de activos * Apalancamiento</t>
  </si>
  <si>
    <t>La empresa no presenta deuda financiera.</t>
  </si>
  <si>
    <t xml:space="preserve">La empresa no presenta gastos financieros </t>
  </si>
  <si>
    <t>Los activos generan una rentabilidad baja.</t>
  </si>
  <si>
    <t>El patrimonio genera baja rentabilidad para los socios.</t>
  </si>
  <si>
    <t>Por cada peso vendido se obtiene buena utilidad neta.</t>
  </si>
  <si>
    <t>La rentabilidad depende principalmente del margen de utilidad.</t>
  </si>
  <si>
    <t xml:space="preserve">El ejercicio no brinda información sobre la inversión </t>
  </si>
  <si>
    <t xml:space="preserve">Erick Santiago Fino Albarracin </t>
  </si>
  <si>
    <t xml:space="preserve">Joseph Sebastian contreras Gonzalez </t>
  </si>
  <si>
    <t xml:space="preserve">Brenda Lucia argel adame </t>
  </si>
  <si>
    <t xml:space="preserve">Joseph C.     ,      Brenda A. </t>
  </si>
  <si>
    <t>Joseph C.    ,     Brenda A.</t>
  </si>
</sst>
</file>

<file path=xl/styles.xml><?xml version="1.0" encoding="utf-8"?>
<styleSheet xmlns="http://schemas.openxmlformats.org/spreadsheetml/2006/main">
  <numFmts count="16">
    <numFmt numFmtId="0" formatCode="General"/>
    <numFmt numFmtId="10" formatCode="0.00%"/>
    <numFmt numFmtId="165" formatCode="_-* #,##0_-;\-* #,##0_-;_-* &quot;-&quot;_-;_-@_-"/>
    <numFmt numFmtId="164" formatCode="_-&quot;$&quot;\ * #,##0_-;\-&quot;$&quot;\ * #,##0_-;_-&quot;$&quot;\ * &quot;-&quot;_-;_-@_-"/>
    <numFmt numFmtId="3" formatCode="#,##0"/>
    <numFmt numFmtId="49" formatCode="@"/>
    <numFmt numFmtId="9" formatCode="0%"/>
    <numFmt numFmtId="168" formatCode="_-* #,##0.00_-;\-* #,##0.00_-;_-* &quot;-&quot;_-;_-@"/>
    <numFmt numFmtId="167" formatCode="_-* #,##0_-;\-* #,##0_-;_-* &quot;-&quot;_-;_-@"/>
    <numFmt numFmtId="169" formatCode="_-* #,##0\ _€_-;\-* #,##0\ _€_-;_-* &quot;-&quot;??\ _€_-;_-@_-"/>
    <numFmt numFmtId="170" formatCode="_-&quot;$&quot;\ * #,##0_-;\-&quot;$&quot;\ * #,##0_-;_-&quot;$&quot;\ * &quot;-&quot;??_-;_-@"/>
    <numFmt numFmtId="172" formatCode="_-* #,##0.000_-;\-* #,##0.000_-;_-* &quot;-&quot;_-;_-@"/>
    <numFmt numFmtId="2" formatCode="0.00"/>
    <numFmt numFmtId="1" formatCode="0"/>
    <numFmt numFmtId="171" formatCode="0.0%"/>
    <numFmt numFmtId="166" formatCode="_-* #,##0.00_-;\-* #,##0.00_-;_-* &quot;-&quot;??_-;_-@_-"/>
  </numFmts>
  <fonts count="30">
    <font>
      <name val="Calibri"/>
      <sz val="11"/>
    </font>
    <font>
      <name val="Calibri"/>
      <sz val="16"/>
      <color rgb="FF000000"/>
    </font>
    <font>
      <name val="Calibri"/>
      <b/>
      <sz val="16"/>
      <color rgb="FF000000"/>
    </font>
    <font>
      <name val="Times New Roman"/>
      <sz val="11"/>
      <color rgb="FF000000"/>
    </font>
    <font>
      <name val="Times New Roman"/>
      <b/>
      <sz val="11"/>
      <color rgb="FF000000"/>
    </font>
    <font>
      <name val="Arial"/>
      <b/>
      <sz val="10"/>
      <color rgb="FF000000"/>
    </font>
    <font>
      <name val="Arial"/>
      <sz val="10"/>
      <color rgb="FF000000"/>
    </font>
    <font>
      <name val="Arial"/>
      <b/>
      <u val="singleAccounting"/>
      <sz val="10"/>
      <color rgb="FF000000"/>
    </font>
    <font>
      <name val="Arial"/>
      <b/>
      <sz val="8"/>
      <color rgb="FF000000"/>
    </font>
    <font>
      <name val="Times New Roman"/>
      <i/>
      <sz val="11"/>
      <color rgb="FF000000"/>
    </font>
    <font>
      <name val="Times New Roman"/>
      <sz val="11"/>
    </font>
    <font>
      <name val="Times New Roman"/>
      <b/>
      <sz val="11"/>
      <color rgb="FFFF0000"/>
    </font>
    <font>
      <name val="Times New Roman"/>
      <sz val="11"/>
      <color rgb="FFFF0000"/>
    </font>
    <font>
      <name val="Times New Roman"/>
      <b/>
      <i/>
      <sz val="11"/>
      <color rgb="FF000000"/>
    </font>
    <font>
      <name val="Times New Roman"/>
      <b/>
      <sz val="11"/>
    </font>
    <font>
      <name val="Arial"/>
      <i/>
      <sz val="10"/>
    </font>
    <font>
      <name val="Arial"/>
      <i/>
      <sz val="10"/>
      <color rgb="FF000000"/>
    </font>
    <font>
      <name val="Arial"/>
      <b/>
      <i/>
      <sz val="10"/>
      <color rgb="FF000000"/>
    </font>
    <font>
      <name val="Calibri"/>
      <i/>
      <sz val="11"/>
      <color rgb="FF000000"/>
    </font>
    <font>
      <name val="Calibri"/>
      <i/>
      <sz val="11"/>
    </font>
    <font>
      <name val="Calibri"/>
      <b/>
      <i/>
      <sz val="11"/>
    </font>
    <font>
      <name val="Arial"/>
      <i/>
      <sz val="10"/>
      <color rgb="FF000000"/>
    </font>
    <font>
      <name val="Arial"/>
      <b/>
      <i/>
      <sz val="10"/>
      <color rgb="FF000000"/>
    </font>
    <font>
      <name val="Arial"/>
      <i/>
      <sz val="11"/>
      <color rgb="FF000000"/>
    </font>
    <font>
      <name val="Arial"/>
      <i/>
      <sz val="11"/>
    </font>
    <font>
      <name val="Arial"/>
      <i/>
      <sz val="10"/>
      <color rgb="FFFF0000"/>
    </font>
    <font>
      <name val="Arial"/>
      <i/>
      <sz val="10"/>
      <color rgb="FF36363D"/>
    </font>
    <font>
      <name val="Arial"/>
      <i/>
      <sz val="11"/>
      <color rgb="FF000000"/>
    </font>
    <font>
      <name val="Arial"/>
      <i/>
      <sz val="10"/>
      <color indexed="8"/>
    </font>
    <font>
      <name val="Calibri"/>
      <sz val="11"/>
      <color rgb="FF000000"/>
    </font>
  </fonts>
  <fills count="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BD4B4"/>
      </patternFill>
    </fill>
    <fill>
      <patternFill patternType="solid">
        <fgColor rgb="FFFFFFFF"/>
        <bgColor rgb="FFFABF8F"/>
      </patternFill>
    </fill>
    <fill>
      <patternFill patternType="solid">
        <fgColor rgb="FFFFFFFF"/>
        <bgColor rgb="FFFFFF00"/>
      </patternFill>
    </fill>
  </fills>
  <borders count="2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</borders>
  <cellStyleXfs count="5">
    <xf numFmtId="0" fontId="0" fillId="0" borderId="0">
      <alignment vertical="center"/>
    </xf>
    <xf numFmtId="9" fontId="29" fillId="0" borderId="0">
      <alignment vertical="top"/>
      <protection locked="0" hidden="0"/>
    </xf>
    <xf numFmtId="165" fontId="29" fillId="0" borderId="0">
      <alignment vertical="top"/>
      <protection locked="0" hidden="0"/>
    </xf>
    <xf numFmtId="164" fontId="29" fillId="0" borderId="0">
      <alignment vertical="top"/>
      <protection locked="0" hidden="0"/>
    </xf>
    <xf numFmtId="166" fontId="29" fillId="0" borderId="0">
      <alignment vertical="top"/>
      <protection locked="0" hidden="0"/>
    </xf>
  </cellStyleXfs>
  <cellXfs count="219">
    <xf numFmtId="0" fontId="0" fillId="0" borderId="0" xfId="0">
      <alignment vertical="center"/>
    </xf>
    <xf numFmtId="0" fontId="1" fillId="2" borderId="0" xfId="0" applyFont="1" applyFill="1" applyAlignment="1">
      <alignment vertical="bottom"/>
    </xf>
    <xf numFmtId="0" fontId="2" fillId="2" borderId="0" xfId="0" applyFont="1" applyFill="1" applyAlignment="1">
      <alignment vertical="bottom"/>
    </xf>
    <xf numFmtId="0" fontId="3" fillId="2" borderId="0" xfId="0" applyFont="1" applyFill="1">
      <alignment vertical="center"/>
    </xf>
    <xf numFmtId="0" fontId="4" fillId="2" borderId="0" xfId="0" applyFont="1" applyFill="1" applyAlignment="1">
      <alignment horizontal="center" vertical="center"/>
    </xf>
    <xf numFmtId="10" fontId="5" fillId="2" borderId="0" xfId="1" applyNumberFormat="1" applyFont="1" applyFill="1" applyAlignment="1">
      <alignment vertical="bottom"/>
    </xf>
    <xf numFmtId="0" fontId="6" fillId="2" borderId="0" xfId="0" applyFont="1" applyFill="1" applyAlignment="1">
      <alignment vertical="bottom"/>
    </xf>
    <xf numFmtId="10" fontId="6" fillId="2" borderId="0" xfId="1" applyNumberFormat="1" applyFont="1" applyFill="1" applyAlignment="1">
      <alignment vertical="bottom"/>
    </xf>
    <xf numFmtId="165" fontId="5" fillId="2" borderId="0" xfId="2" applyFont="1" applyFill="1" applyBorder="1" applyAlignment="1">
      <alignment vertical="bottom"/>
    </xf>
    <xf numFmtId="164" fontId="6" fillId="2" borderId="0" xfId="3" applyFont="1" applyFill="1" applyAlignment="1">
      <alignment vertical="bottom"/>
    </xf>
    <xf numFmtId="0" fontId="3" fillId="2" borderId="1" xfId="0" applyFont="1" applyFill="1" applyBorder="1">
      <alignment vertical="center"/>
    </xf>
    <xf numFmtId="0" fontId="3" fillId="2" borderId="2" xfId="0" applyFont="1" applyFill="1" applyBorder="1">
      <alignment vertical="center"/>
    </xf>
    <xf numFmtId="0" fontId="4" fillId="2" borderId="2" xfId="0" applyFont="1" applyFill="1" applyBorder="1" applyAlignment="1">
      <alignment horizontal="center" vertical="center"/>
    </xf>
    <xf numFmtId="0" fontId="3" fillId="2" borderId="3" xfId="0" applyFont="1" applyFill="1" applyBorder="1">
      <alignment vertical="center"/>
    </xf>
    <xf numFmtId="0" fontId="3" fillId="2" borderId="4" xfId="0" applyFont="1" applyFill="1" applyBorder="1">
      <alignment vertical="center"/>
    </xf>
    <xf numFmtId="0" fontId="4" fillId="2" borderId="0" xfId="0" applyFont="1" applyFill="1" applyAlignment="1">
      <alignment horizontal="center" vertical="center"/>
    </xf>
    <xf numFmtId="0" fontId="3" fillId="2" borderId="5" xfId="0" applyFont="1" applyFill="1" applyBorder="1">
      <alignment vertical="center"/>
    </xf>
    <xf numFmtId="0" fontId="3" fillId="2" borderId="0" xfId="0" applyFont="1" applyFill="1" applyAlignment="1">
      <alignment horizontal="center" vertical="center"/>
    </xf>
    <xf numFmtId="3" fontId="3" fillId="2" borderId="0" xfId="0" applyNumberFormat="1" applyFont="1" applyFill="1">
      <alignment vertical="center"/>
    </xf>
    <xf numFmtId="0" fontId="3" fillId="2" borderId="6" xfId="0" applyFont="1" applyFill="1" applyBorder="1">
      <alignment vertical="center"/>
    </xf>
    <xf numFmtId="0" fontId="3" fillId="2" borderId="7" xfId="0" applyFont="1" applyFill="1" applyBorder="1">
      <alignment vertical="center"/>
    </xf>
    <xf numFmtId="0" fontId="4" fillId="2" borderId="7" xfId="0" applyFont="1" applyFill="1" applyBorder="1" applyAlignment="1">
      <alignment horizontal="center" vertical="center"/>
    </xf>
    <xf numFmtId="0" fontId="3" fillId="2" borderId="8" xfId="0" applyFont="1" applyFill="1" applyBorder="1">
      <alignment vertical="center"/>
    </xf>
    <xf numFmtId="49" fontId="5" fillId="2" borderId="0" xfId="2" applyNumberFormat="1" applyFont="1" applyFill="1" applyBorder="1" applyAlignment="1">
      <alignment horizontal="center" vertical="bottom"/>
    </xf>
    <xf numFmtId="0" fontId="4" fillId="2" borderId="2" xfId="0" applyFont="1" applyFill="1" applyBorder="1" applyAlignment="1">
      <alignment horizontal="center" vertical="center"/>
    </xf>
    <xf numFmtId="9" fontId="7" fillId="2" borderId="0" xfId="1" applyFont="1" applyFill="1" applyBorder="1" applyAlignment="1">
      <alignment horizontal="center" vertical="bottom"/>
    </xf>
    <xf numFmtId="164" fontId="8" fillId="2" borderId="7" xfId="3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bottom"/>
    </xf>
    <xf numFmtId="10" fontId="8" fillId="2" borderId="7" xfId="1" applyNumberFormat="1" applyFont="1" applyFill="1" applyBorder="1" applyAlignment="1">
      <alignment horizontal="center" vertical="center" wrapText="1"/>
    </xf>
    <xf numFmtId="0" fontId="9" fillId="2" borderId="0" xfId="0" applyFont="1" applyFill="1" applyAlignment="1">
      <alignment horizontal="center" vertical="center"/>
    </xf>
    <xf numFmtId="10" fontId="5" fillId="2" borderId="0" xfId="1" applyNumberFormat="1" applyFont="1" applyFill="1" applyBorder="1" applyAlignment="1">
      <alignment vertical="bottom"/>
    </xf>
    <xf numFmtId="10" fontId="6" fillId="2" borderId="0" xfId="1" applyNumberFormat="1" applyFont="1" applyFill="1" applyBorder="1" applyAlignment="1">
      <alignment vertical="bottom"/>
    </xf>
    <xf numFmtId="165" fontId="5" fillId="2" borderId="0" xfId="2" applyFont="1" applyFill="1" applyBorder="1" applyAlignment="1">
      <alignment vertical="bottom"/>
    </xf>
    <xf numFmtId="10" fontId="5" fillId="2" borderId="0" xfId="1" applyNumberFormat="1" applyFont="1" applyFill="1" applyBorder="1" applyAlignment="1">
      <alignment vertical="bottom"/>
    </xf>
    <xf numFmtId="10" fontId="6" fillId="2" borderId="0" xfId="1" applyNumberFormat="1" applyFont="1" applyFill="1" applyBorder="1" applyAlignment="1">
      <alignment vertical="bottom"/>
    </xf>
    <xf numFmtId="164" fontId="6" fillId="2" borderId="0" xfId="3" applyFont="1" applyFill="1" applyBorder="1" applyAlignment="1">
      <alignment vertical="bottom"/>
    </xf>
    <xf numFmtId="0" fontId="4" fillId="2" borderId="0" xfId="0" applyFont="1" applyFill="1" applyAlignment="1">
      <alignment horizontal="center" vertical="center" wrapText="1"/>
    </xf>
    <xf numFmtId="0" fontId="4" fillId="2" borderId="7" xfId="0" applyFont="1" applyFill="1" applyBorder="1" applyAlignment="1">
      <alignment horizontal="right" vertical="center" wrapText="1"/>
    </xf>
    <xf numFmtId="0" fontId="4" fillId="2" borderId="0" xfId="0" applyFont="1" applyFill="1">
      <alignment vertical="center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right" vertical="center" wrapText="1"/>
    </xf>
    <xf numFmtId="0" fontId="3" fillId="2" borderId="0" xfId="0" applyFont="1" applyFill="1" applyAlignment="1">
      <alignment vertical="center" wrapText="1"/>
    </xf>
    <xf numFmtId="3" fontId="3" fillId="2" borderId="0" xfId="0" applyNumberFormat="1" applyFont="1" applyFill="1" applyAlignment="1">
      <alignment vertical="center" wrapText="1"/>
    </xf>
    <xf numFmtId="3" fontId="3" fillId="2" borderId="7" xfId="0" applyNumberFormat="1" applyFont="1" applyFill="1" applyBorder="1" applyAlignment="1">
      <alignment vertical="center" wrapText="1"/>
    </xf>
    <xf numFmtId="0" fontId="4" fillId="2" borderId="0" xfId="0" applyFont="1" applyFill="1" applyAlignment="1">
      <alignment vertical="center" wrapText="1"/>
    </xf>
    <xf numFmtId="3" fontId="4" fillId="2" borderId="0" xfId="0" applyNumberFormat="1" applyFont="1" applyFill="1" applyAlignment="1">
      <alignment vertical="center" wrapText="1"/>
    </xf>
    <xf numFmtId="164" fontId="5" fillId="2" borderId="0" xfId="3" applyFont="1" applyFill="1" applyBorder="1" applyAlignment="1">
      <alignment vertical="bottom"/>
    </xf>
    <xf numFmtId="3" fontId="4" fillId="2" borderId="9" xfId="0" applyNumberFormat="1" applyFont="1" applyFill="1" applyBorder="1" applyAlignment="1">
      <alignment vertical="center" wrapText="1"/>
    </xf>
    <xf numFmtId="3" fontId="4" fillId="2" borderId="10" xfId="0" applyNumberFormat="1" applyFont="1" applyFill="1" applyBorder="1" applyAlignment="1">
      <alignment vertical="center" wrapText="1"/>
    </xf>
    <xf numFmtId="0" fontId="4" fillId="2" borderId="0" xfId="0" applyFont="1" applyFill="1" applyAlignment="1">
      <alignment horizontal="left" vertical="center"/>
    </xf>
    <xf numFmtId="3" fontId="10" fillId="2" borderId="0" xfId="0" applyNumberFormat="1" applyFont="1" applyFill="1" applyAlignment="1">
      <alignment vertical="center" wrapText="1"/>
    </xf>
    <xf numFmtId="0" fontId="10" fillId="2" borderId="0" xfId="0" applyFont="1" applyFill="1">
      <alignment vertical="center"/>
    </xf>
    <xf numFmtId="0" fontId="4" fillId="2" borderId="7" xfId="0" applyFont="1" applyFill="1" applyBorder="1" applyAlignment="1">
      <alignment vertical="center" wrapText="1"/>
    </xf>
    <xf numFmtId="0" fontId="4" fillId="2" borderId="7" xfId="0" applyFont="1" applyFill="1" applyBorder="1" applyAlignment="1">
      <alignment horizontal="center" vertical="center" wrapText="1"/>
    </xf>
    <xf numFmtId="3" fontId="11" fillId="2" borderId="7" xfId="0" applyNumberFormat="1" applyFont="1" applyFill="1" applyBorder="1" applyAlignment="1">
      <alignment vertical="center" wrapText="1"/>
    </xf>
    <xf numFmtId="0" fontId="12" fillId="2" borderId="7" xfId="0" applyFont="1" applyFill="1" applyBorder="1">
      <alignment vertical="center"/>
    </xf>
    <xf numFmtId="0" fontId="13" fillId="2" borderId="2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left" vertical="center"/>
    </xf>
    <xf numFmtId="0" fontId="4" fillId="2" borderId="5" xfId="0" applyFont="1" applyFill="1" applyBorder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3" fillId="2" borderId="5" xfId="0" applyFont="1" applyFill="1" applyBorder="1" applyAlignment="1">
      <alignment horizontal="left" vertical="center"/>
    </xf>
    <xf numFmtId="0" fontId="3" fillId="2" borderId="7" xfId="0" applyFont="1" applyFill="1" applyBorder="1" applyAlignment="1">
      <alignment horizontal="left" vertical="center"/>
    </xf>
    <xf numFmtId="0" fontId="3" fillId="2" borderId="8" xfId="0" applyFont="1" applyFill="1" applyBorder="1" applyAlignment="1">
      <alignment horizontal="left" vertical="center"/>
    </xf>
    <xf numFmtId="0" fontId="5" fillId="2" borderId="0" xfId="0" applyFont="1" applyFill="1" applyAlignment="1">
      <alignment vertical="bottom"/>
    </xf>
    <xf numFmtId="0" fontId="10" fillId="2" borderId="4" xfId="0" applyFont="1" applyFill="1" applyBorder="1">
      <alignment vertical="center"/>
    </xf>
    <xf numFmtId="0" fontId="14" fillId="2" borderId="7" xfId="0" applyFont="1" applyFill="1" applyBorder="1" applyAlignment="1">
      <alignment vertical="center" wrapText="1"/>
    </xf>
    <xf numFmtId="0" fontId="14" fillId="2" borderId="7" xfId="0" applyFont="1" applyFill="1" applyBorder="1" applyAlignment="1">
      <alignment horizontal="center" vertical="center" wrapText="1"/>
    </xf>
    <xf numFmtId="3" fontId="14" fillId="2" borderId="7" xfId="0" applyNumberFormat="1" applyFont="1" applyFill="1" applyBorder="1" applyAlignment="1">
      <alignment vertical="center" wrapText="1"/>
    </xf>
    <xf numFmtId="0" fontId="10" fillId="2" borderId="7" xfId="0" applyFont="1" applyFill="1" applyBorder="1">
      <alignment vertical="center"/>
    </xf>
    <xf numFmtId="0" fontId="10" fillId="2" borderId="5" xfId="0" applyFont="1" applyFill="1" applyBorder="1">
      <alignment vertical="center"/>
    </xf>
    <xf numFmtId="0" fontId="15" fillId="2" borderId="0" xfId="0" applyFont="1" applyFill="1" applyAlignment="1">
      <alignment vertical="bottom"/>
    </xf>
    <xf numFmtId="168" fontId="15" fillId="2" borderId="0" xfId="0" applyNumberFormat="1" applyFont="1" applyFill="1" applyAlignment="1">
      <alignment vertical="bottom"/>
    </xf>
    <xf numFmtId="0" fontId="16" fillId="3" borderId="0" xfId="0" applyFont="1" applyFill="1" applyAlignment="1">
      <alignment vertical="bottom"/>
    </xf>
    <xf numFmtId="167" fontId="16" fillId="3" borderId="0" xfId="0" applyNumberFormat="1" applyFont="1" applyFill="1" applyAlignment="1">
      <alignment vertical="bottom"/>
    </xf>
    <xf numFmtId="167" fontId="17" fillId="3" borderId="0" xfId="0" applyNumberFormat="1" applyFont="1" applyFill="1" applyAlignment="1">
      <alignment vertical="bottom"/>
    </xf>
    <xf numFmtId="168" fontId="17" fillId="3" borderId="0" xfId="0" applyNumberFormat="1" applyFont="1" applyFill="1" applyAlignment="1">
      <alignment vertical="bottom"/>
    </xf>
    <xf numFmtId="0" fontId="18" fillId="2" borderId="0" xfId="0" applyFont="1" applyFill="1" applyAlignment="1">
      <alignment vertical="bottom"/>
    </xf>
    <xf numFmtId="0" fontId="18" fillId="2" borderId="11" xfId="0" applyFont="1" applyFill="1" applyBorder="1" applyAlignment="1">
      <alignment vertical="bottom"/>
    </xf>
    <xf numFmtId="0" fontId="18" fillId="2" borderId="12" xfId="0" applyFont="1" applyFill="1" applyBorder="1" applyAlignment="1">
      <alignment vertical="bottom"/>
    </xf>
    <xf numFmtId="0" fontId="19" fillId="2" borderId="12" xfId="0" applyFont="1" applyFill="1" applyBorder="1" applyAlignment="1">
      <alignment vertical="bottom"/>
    </xf>
    <xf numFmtId="0" fontId="19" fillId="2" borderId="12" xfId="0" applyFont="1" applyFill="1" applyBorder="1" applyAlignment="1">
      <alignment horizontal="center" vertical="bottom"/>
    </xf>
    <xf numFmtId="169" fontId="19" fillId="2" borderId="12" xfId="4" applyNumberFormat="1" applyFont="1" applyFill="1" applyBorder="1" applyAlignment="1">
      <alignment vertical="bottom"/>
    </xf>
    <xf numFmtId="168" fontId="19" fillId="2" borderId="12" xfId="0" applyNumberFormat="1" applyFont="1" applyFill="1" applyBorder="1" applyAlignment="1">
      <alignment horizontal="center" vertical="bottom"/>
    </xf>
    <xf numFmtId="3" fontId="18" fillId="2" borderId="12" xfId="0" applyNumberFormat="1" applyFont="1" applyFill="1" applyBorder="1" applyAlignment="1">
      <alignment vertical="bottom"/>
    </xf>
    <xf numFmtId="0" fontId="18" fillId="2" borderId="13" xfId="0" applyFont="1" applyFill="1" applyBorder="1" applyAlignment="1">
      <alignment vertical="bottom"/>
    </xf>
    <xf numFmtId="0" fontId="18" fillId="2" borderId="14" xfId="0" applyFont="1" applyFill="1" applyBorder="1" applyAlignment="1">
      <alignment vertical="bottom"/>
    </xf>
    <xf numFmtId="0" fontId="20" fillId="2" borderId="15" xfId="0" applyFont="1" applyFill="1" applyBorder="1" applyAlignment="1">
      <alignment vertical="bottom"/>
    </xf>
    <xf numFmtId="0" fontId="20" fillId="2" borderId="0" xfId="0" applyFont="1" applyFill="1" applyAlignment="1">
      <alignment vertical="bottom"/>
    </xf>
    <xf numFmtId="0" fontId="18" fillId="2" borderId="16" xfId="0" applyFont="1" applyFill="1" applyBorder="1" applyAlignment="1">
      <alignment vertical="bottom"/>
    </xf>
    <xf numFmtId="0" fontId="18" fillId="2" borderId="17" xfId="0" applyFont="1" applyFill="1" applyBorder="1" applyAlignment="1">
      <alignment vertical="bottom"/>
    </xf>
    <xf numFmtId="0" fontId="20" fillId="2" borderId="17" xfId="0" applyFont="1" applyFill="1" applyBorder="1" applyAlignment="1">
      <alignment vertical="bottom"/>
    </xf>
    <xf numFmtId="0" fontId="20" fillId="2" borderId="17" xfId="0" applyFont="1" applyFill="1" applyBorder="1" applyAlignment="1">
      <alignment horizontal="center" vertical="bottom"/>
    </xf>
    <xf numFmtId="0" fontId="20" fillId="2" borderId="17" xfId="0" applyFont="1" applyFill="1" applyBorder="1" applyAlignment="1">
      <alignment horizontal="right" vertical="bottom"/>
    </xf>
    <xf numFmtId="0" fontId="20" fillId="2" borderId="17" xfId="0" applyFont="1" applyFill="1" applyBorder="1" applyAlignment="1">
      <alignment horizontal="center" vertical="bottom"/>
    </xf>
    <xf numFmtId="168" fontId="20" fillId="2" borderId="17" xfId="0" applyNumberFormat="1" applyFont="1" applyFill="1" applyBorder="1" applyAlignment="1">
      <alignment horizontal="center" vertical="bottom"/>
    </xf>
    <xf numFmtId="0" fontId="18" fillId="2" borderId="18" xfId="0" applyFont="1" applyFill="1" applyBorder="1" applyAlignment="1">
      <alignment vertical="bottom"/>
    </xf>
    <xf numFmtId="0" fontId="16" fillId="3" borderId="11" xfId="0" applyFont="1" applyFill="1" applyBorder="1" applyAlignment="1">
      <alignment vertical="bottom"/>
    </xf>
    <xf numFmtId="0" fontId="16" fillId="3" borderId="12" xfId="0" applyFont="1" applyFill="1" applyBorder="1" applyAlignment="1">
      <alignment vertical="bottom"/>
    </xf>
    <xf numFmtId="0" fontId="21" fillId="4" borderId="12" xfId="0" applyFont="1" applyFill="1" applyBorder="1" applyAlignment="1">
      <alignment horizontal="center" vertical="center" wrapText="1"/>
    </xf>
    <xf numFmtId="0" fontId="21" fillId="2" borderId="12" xfId="0" applyFont="1" applyFill="1" applyBorder="1" applyAlignment="1">
      <alignment horizontal="center" vertical="center"/>
    </xf>
    <xf numFmtId="0" fontId="21" fillId="2" borderId="12" xfId="0" applyFont="1" applyFill="1" applyBorder="1" applyAlignment="1">
      <alignment vertical="bottom"/>
    </xf>
    <xf numFmtId="170" fontId="21" fillId="2" borderId="12" xfId="0" applyNumberFormat="1" applyFont="1" applyFill="1" applyBorder="1" applyAlignment="1">
      <alignment vertical="bottom"/>
    </xf>
    <xf numFmtId="168" fontId="16" fillId="2" borderId="12" xfId="0" applyNumberFormat="1" applyFont="1" applyFill="1" applyBorder="1" applyAlignment="1">
      <alignment vertical="bottom"/>
    </xf>
    <xf numFmtId="0" fontId="16" fillId="2" borderId="12" xfId="0" applyFont="1" applyFill="1" applyBorder="1" applyAlignment="1">
      <alignment vertical="bottom"/>
    </xf>
    <xf numFmtId="0" fontId="16" fillId="2" borderId="13" xfId="0" applyFont="1" applyFill="1" applyBorder="1" applyAlignment="1">
      <alignment vertical="bottom"/>
    </xf>
    <xf numFmtId="0" fontId="16" fillId="3" borderId="14" xfId="0" applyFont="1" applyFill="1" applyBorder="1" applyAlignment="1">
      <alignment vertical="bottom"/>
    </xf>
    <xf numFmtId="0" fontId="15" fillId="2" borderId="0" xfId="0" applyFont="1" applyFill="1" applyAlignment="1">
      <alignment vertical="bottom"/>
    </xf>
    <xf numFmtId="0" fontId="21" fillId="2" borderId="0" xfId="0" applyFont="1" applyFill="1" applyAlignment="1">
      <alignment horizontal="center" vertical="center"/>
    </xf>
    <xf numFmtId="0" fontId="21" fillId="2" borderId="19" xfId="0" applyFont="1" applyFill="1" applyBorder="1" applyAlignment="1">
      <alignment horizontal="center" vertical="bottom"/>
    </xf>
    <xf numFmtId="0" fontId="15" fillId="2" borderId="19" xfId="0" applyFont="1" applyFill="1" applyBorder="1" applyAlignment="1">
      <alignment vertical="bottom"/>
    </xf>
    <xf numFmtId="170" fontId="16" fillId="2" borderId="19" xfId="0" applyNumberFormat="1" applyFont="1" applyFill="1" applyBorder="1" applyAlignment="1">
      <alignment vertical="bottom"/>
    </xf>
    <xf numFmtId="172" fontId="22" fillId="2" borderId="0" xfId="0" applyNumberFormat="1" applyFont="1" applyFill="1" applyAlignment="1">
      <alignment vertical="bottom"/>
    </xf>
    <xf numFmtId="0" fontId="16" fillId="2" borderId="0" xfId="0" applyFont="1" applyFill="1" applyAlignment="1">
      <alignment vertical="bottom"/>
    </xf>
    <xf numFmtId="0" fontId="16" fillId="2" borderId="15" xfId="0" applyFont="1" applyFill="1" applyBorder="1" applyAlignment="1">
      <alignment vertical="bottom"/>
    </xf>
    <xf numFmtId="0" fontId="16" fillId="3" borderId="20" xfId="0" applyFont="1" applyFill="1" applyBorder="1" applyAlignment="1">
      <alignment vertical="bottom"/>
    </xf>
    <xf numFmtId="0" fontId="15" fillId="2" borderId="20" xfId="0" applyFont="1" applyFill="1" applyBorder="1" applyAlignment="1">
      <alignment vertical="bottom"/>
    </xf>
    <xf numFmtId="0" fontId="21" fillId="2" borderId="20" xfId="0" applyFont="1" applyFill="1" applyBorder="1" applyAlignment="1">
      <alignment horizontal="center" vertical="center"/>
    </xf>
    <xf numFmtId="0" fontId="21" fillId="2" borderId="20" xfId="0" applyFont="1" applyFill="1" applyBorder="1" applyAlignment="1">
      <alignment horizontal="center" vertical="bottom"/>
    </xf>
    <xf numFmtId="170" fontId="21" fillId="2" borderId="20" xfId="0" applyNumberFormat="1" applyFont="1" applyFill="1" applyBorder="1" applyAlignment="1">
      <alignment vertical="bottom"/>
    </xf>
    <xf numFmtId="168" fontId="16" fillId="2" borderId="20" xfId="0" applyNumberFormat="1" applyFont="1" applyFill="1" applyBorder="1" applyAlignment="1">
      <alignment vertical="bottom"/>
    </xf>
    <xf numFmtId="0" fontId="16" fillId="2" borderId="20" xfId="0" applyFont="1" applyFill="1" applyBorder="1" applyAlignment="1">
      <alignment vertical="bottom"/>
    </xf>
    <xf numFmtId="0" fontId="16" fillId="3" borderId="21" xfId="0" applyFont="1" applyFill="1" applyBorder="1" applyAlignment="1">
      <alignment vertical="bottom"/>
    </xf>
    <xf numFmtId="0" fontId="21" fillId="4" borderId="21" xfId="0" applyFont="1" applyFill="1" applyBorder="1" applyAlignment="1">
      <alignment horizontal="center" vertical="center" wrapText="1"/>
    </xf>
    <xf numFmtId="0" fontId="21" fillId="2" borderId="21" xfId="0" applyFont="1" applyFill="1" applyBorder="1" applyAlignment="1">
      <alignment horizontal="center" vertical="center"/>
    </xf>
    <xf numFmtId="0" fontId="21" fillId="2" borderId="21" xfId="0" applyFont="1" applyFill="1" applyBorder="1" applyAlignment="1">
      <alignment vertical="bottom"/>
    </xf>
    <xf numFmtId="170" fontId="21" fillId="2" borderId="21" xfId="0" applyNumberFormat="1" applyFont="1" applyFill="1" applyBorder="1" applyAlignment="1">
      <alignment vertical="bottom"/>
    </xf>
    <xf numFmtId="168" fontId="16" fillId="2" borderId="21" xfId="0" applyNumberFormat="1" applyFont="1" applyFill="1" applyBorder="1" applyAlignment="1">
      <alignment vertical="bottom"/>
    </xf>
    <xf numFmtId="0" fontId="16" fillId="2" borderId="21" xfId="0" applyFont="1" applyFill="1" applyBorder="1" applyAlignment="1">
      <alignment vertical="bottom"/>
    </xf>
    <xf numFmtId="170" fontId="21" fillId="2" borderId="19" xfId="0" applyNumberFormat="1" applyFont="1" applyFill="1" applyBorder="1" applyAlignment="1">
      <alignment vertical="bottom"/>
    </xf>
    <xf numFmtId="168" fontId="17" fillId="2" borderId="0" xfId="0" applyNumberFormat="1" applyFont="1" applyFill="1" applyAlignment="1">
      <alignment vertical="bottom"/>
    </xf>
    <xf numFmtId="0" fontId="17" fillId="3" borderId="14" xfId="0" applyFont="1" applyFill="1" applyBorder="1" applyAlignment="1">
      <alignment vertical="bottom"/>
    </xf>
    <xf numFmtId="0" fontId="17" fillId="3" borderId="20" xfId="0" applyFont="1" applyFill="1" applyBorder="1" applyAlignment="1">
      <alignment vertical="bottom"/>
    </xf>
    <xf numFmtId="170" fontId="16" fillId="2" borderId="14" xfId="0" applyNumberFormat="1" applyFont="1" applyFill="1" applyBorder="1" applyAlignment="1">
      <alignment vertical="bottom"/>
    </xf>
    <xf numFmtId="170" fontId="16" fillId="2" borderId="21" xfId="0" applyNumberFormat="1" applyFont="1" applyFill="1" applyBorder="1" applyAlignment="1">
      <alignment vertical="bottom"/>
    </xf>
    <xf numFmtId="0" fontId="21" fillId="2" borderId="0" xfId="0" applyFont="1" applyFill="1" applyAlignment="1">
      <alignment horizontal="center" vertical="bottom"/>
    </xf>
    <xf numFmtId="170" fontId="22" fillId="2" borderId="0" xfId="0" applyNumberFormat="1" applyFont="1" applyFill="1" applyAlignment="1">
      <alignment vertical="bottom"/>
    </xf>
    <xf numFmtId="168" fontId="16" fillId="2" borderId="0" xfId="0" applyNumberFormat="1" applyFont="1" applyFill="1" applyAlignment="1">
      <alignment vertical="bottom"/>
    </xf>
    <xf numFmtId="0" fontId="16" fillId="3" borderId="16" xfId="0" applyFont="1" applyFill="1" applyBorder="1" applyAlignment="1">
      <alignment vertical="bottom"/>
    </xf>
    <xf numFmtId="0" fontId="16" fillId="3" borderId="17" xfId="0" applyFont="1" applyFill="1" applyBorder="1" applyAlignment="1">
      <alignment vertical="bottom"/>
    </xf>
    <xf numFmtId="0" fontId="15" fillId="2" borderId="17" xfId="0" applyFont="1" applyFill="1" applyBorder="1" applyAlignment="1">
      <alignment vertical="bottom"/>
    </xf>
    <xf numFmtId="0" fontId="21" fillId="2" borderId="17" xfId="0" applyFont="1" applyFill="1" applyBorder="1" applyAlignment="1">
      <alignment horizontal="center" vertical="center"/>
    </xf>
    <xf numFmtId="0" fontId="21" fillId="2" borderId="17" xfId="0" applyFont="1" applyFill="1" applyBorder="1" applyAlignment="1">
      <alignment vertical="bottom"/>
    </xf>
    <xf numFmtId="170" fontId="21" fillId="2" borderId="17" xfId="0" applyNumberFormat="1" applyFont="1" applyFill="1" applyBorder="1" applyAlignment="1">
      <alignment vertical="bottom"/>
    </xf>
    <xf numFmtId="168" fontId="17" fillId="2" borderId="17" xfId="0" applyNumberFormat="1" applyFont="1" applyFill="1" applyBorder="1" applyAlignment="1">
      <alignment vertical="bottom"/>
    </xf>
    <xf numFmtId="0" fontId="17" fillId="2" borderId="17" xfId="0" applyFont="1" applyFill="1" applyBorder="1" applyAlignment="1">
      <alignment vertical="bottom"/>
    </xf>
    <xf numFmtId="0" fontId="17" fillId="2" borderId="18" xfId="0" applyFont="1" applyFill="1" applyBorder="1" applyAlignment="1">
      <alignment vertical="bottom"/>
    </xf>
    <xf numFmtId="0" fontId="15" fillId="2" borderId="14" xfId="0" applyFont="1" applyFill="1" applyBorder="1" applyAlignment="1">
      <alignment vertical="bottom"/>
    </xf>
    <xf numFmtId="0" fontId="21" fillId="2" borderId="0" xfId="0" applyFont="1" applyFill="1" applyAlignment="1">
      <alignment vertical="bottom"/>
    </xf>
    <xf numFmtId="0" fontId="23" fillId="2" borderId="19" xfId="0" applyFont="1" applyFill="1" applyBorder="1" applyAlignment="1">
      <alignment horizontal="center" vertical="bottom"/>
    </xf>
    <xf numFmtId="0" fontId="23" fillId="2" borderId="0" xfId="0" applyFont="1" applyFill="1" applyAlignment="1">
      <alignment horizontal="center" vertical="center"/>
    </xf>
    <xf numFmtId="170" fontId="23" fillId="2" borderId="19" xfId="0" applyNumberFormat="1" applyFont="1" applyFill="1" applyBorder="1" applyAlignment="1">
      <alignment vertical="bottom"/>
    </xf>
    <xf numFmtId="0" fontId="23" fillId="2" borderId="0" xfId="0" applyFont="1" applyFill="1" applyAlignment="1">
      <alignment horizontal="center" vertical="bottom"/>
    </xf>
    <xf numFmtId="0" fontId="24" fillId="2" borderId="0" xfId="0" applyFont="1" applyFill="1" applyAlignment="1">
      <alignment vertical="bottom"/>
    </xf>
    <xf numFmtId="170" fontId="23" fillId="2" borderId="0" xfId="0" applyNumberFormat="1" applyFont="1" applyFill="1" applyAlignment="1">
      <alignment vertical="bottom"/>
    </xf>
    <xf numFmtId="168" fontId="17" fillId="2" borderId="0" xfId="0" applyNumberFormat="1" applyFont="1" applyFill="1" applyAlignment="1">
      <alignment horizontal="right" vertical="bottom"/>
    </xf>
    <xf numFmtId="0" fontId="21" fillId="4" borderId="0" xfId="0" applyFont="1" applyFill="1" applyAlignment="1">
      <alignment horizontal="center" vertical="center" wrapText="1"/>
    </xf>
    <xf numFmtId="170" fontId="16" fillId="2" borderId="0" xfId="0" applyNumberFormat="1" applyFont="1" applyFill="1" applyAlignment="1">
      <alignment vertical="bottom"/>
    </xf>
    <xf numFmtId="0" fontId="16" fillId="2" borderId="19" xfId="0" applyNumberFormat="1" applyFont="1" applyFill="1" applyBorder="1" applyAlignment="1">
      <alignment vertical="bottom"/>
    </xf>
    <xf numFmtId="167" fontId="17" fillId="2" borderId="0" xfId="0" applyNumberFormat="1" applyFont="1" applyFill="1" applyAlignment="1">
      <alignment vertical="bottom"/>
    </xf>
    <xf numFmtId="0" fontId="16" fillId="2" borderId="17" xfId="0" applyFont="1" applyFill="1" applyBorder="1" applyAlignment="1">
      <alignment vertical="bottom"/>
    </xf>
    <xf numFmtId="0" fontId="23" fillId="2" borderId="17" xfId="0" applyFont="1" applyFill="1" applyBorder="1" applyAlignment="1">
      <alignment horizontal="center" vertical="bottom"/>
    </xf>
    <xf numFmtId="2" fontId="16" fillId="2" borderId="17" xfId="0" applyNumberFormat="1" applyFont="1" applyFill="1" applyBorder="1" applyAlignment="1">
      <alignment vertical="bottom"/>
    </xf>
    <xf numFmtId="168" fontId="16" fillId="2" borderId="17" xfId="0" applyNumberFormat="1" applyFont="1" applyFill="1" applyBorder="1" applyAlignment="1">
      <alignment vertical="bottom"/>
    </xf>
    <xf numFmtId="0" fontId="16" fillId="2" borderId="18" xfId="0" applyFont="1" applyFill="1" applyBorder="1" applyAlignment="1">
      <alignment vertical="bottom"/>
    </xf>
    <xf numFmtId="170" fontId="16" fillId="2" borderId="12" xfId="0" applyNumberFormat="1" applyFont="1" applyFill="1" applyBorder="1" applyAlignment="1">
      <alignment vertical="bottom"/>
    </xf>
    <xf numFmtId="1" fontId="16" fillId="2" borderId="0" xfId="0" applyNumberFormat="1" applyFont="1" applyFill="1" applyAlignment="1">
      <alignment vertical="bottom"/>
    </xf>
    <xf numFmtId="1" fontId="16" fillId="2" borderId="7" xfId="0" applyNumberFormat="1" applyFont="1" applyFill="1" applyBorder="1" applyAlignment="1">
      <alignment vertical="bottom"/>
    </xf>
    <xf numFmtId="0" fontId="25" fillId="3" borderId="12" xfId="0" applyFont="1" applyFill="1" applyBorder="1" applyAlignment="1">
      <alignment vertical="bottom"/>
    </xf>
    <xf numFmtId="0" fontId="25" fillId="2" borderId="12" xfId="0" applyFont="1" applyFill="1" applyBorder="1" applyAlignment="1">
      <alignment vertical="bottom"/>
    </xf>
    <xf numFmtId="170" fontId="25" fillId="2" borderId="12" xfId="0" applyNumberFormat="1" applyFont="1" applyFill="1" applyBorder="1" applyAlignment="1">
      <alignment vertical="bottom"/>
    </xf>
    <xf numFmtId="168" fontId="6" fillId="2" borderId="12" xfId="0" applyNumberFormat="1" applyFont="1" applyFill="1" applyBorder="1" applyAlignment="1">
      <alignment vertical="bottom" wrapText="1"/>
    </xf>
    <xf numFmtId="0" fontId="25" fillId="3" borderId="0" xfId="0" applyFont="1" applyFill="1" applyAlignment="1">
      <alignment vertical="bottom"/>
    </xf>
    <xf numFmtId="0" fontId="25" fillId="2" borderId="0" xfId="0" applyFont="1" applyFill="1" applyAlignment="1">
      <alignment vertical="bottom"/>
    </xf>
    <xf numFmtId="170" fontId="26" fillId="2" borderId="7" xfId="0" applyNumberFormat="1" applyFont="1" applyFill="1" applyBorder="1" applyAlignment="1">
      <alignment vertical="bottom"/>
    </xf>
    <xf numFmtId="168" fontId="5" fillId="2" borderId="0" xfId="0" applyNumberFormat="1" applyFont="1" applyFill="1" applyAlignment="1">
      <alignment vertical="bottom" wrapText="1"/>
    </xf>
    <xf numFmtId="168" fontId="6" fillId="2" borderId="0" xfId="0" applyNumberFormat="1" applyFont="1" applyFill="1" applyAlignment="1">
      <alignment vertical="bottom" wrapText="1"/>
    </xf>
    <xf numFmtId="0" fontId="25" fillId="2" borderId="15" xfId="0" applyFont="1" applyFill="1" applyBorder="1" applyAlignment="1">
      <alignment vertical="bottom"/>
    </xf>
    <xf numFmtId="170" fontId="26" fillId="2" borderId="0" xfId="0" applyNumberFormat="1" applyFont="1" applyFill="1" applyAlignment="1">
      <alignment vertical="bottom"/>
    </xf>
    <xf numFmtId="168" fontId="5" fillId="2" borderId="0" xfId="0" applyNumberFormat="1" applyFont="1" applyFill="1" applyAlignment="1">
      <alignment horizontal="right" vertical="bottom" wrapText="1"/>
    </xf>
    <xf numFmtId="0" fontId="16" fillId="2" borderId="17" xfId="0" applyFont="1" applyFill="1" applyBorder="1" applyAlignment="1">
      <alignment horizontal="center" vertical="center"/>
    </xf>
    <xf numFmtId="170" fontId="16" fillId="2" borderId="17" xfId="0" applyNumberFormat="1" applyFont="1" applyFill="1" applyBorder="1" applyAlignment="1">
      <alignment vertical="bottom"/>
    </xf>
    <xf numFmtId="168" fontId="17" fillId="2" borderId="17" xfId="0" applyNumberFormat="1" applyFont="1" applyFill="1" applyBorder="1" applyAlignment="1">
      <alignment horizontal="right" vertical="bottom"/>
    </xf>
    <xf numFmtId="0" fontId="21" fillId="5" borderId="12" xfId="0" applyFont="1" applyFill="1" applyBorder="1" applyAlignment="1">
      <alignment horizontal="center" vertical="center" wrapText="1"/>
    </xf>
    <xf numFmtId="10" fontId="17" fillId="2" borderId="0" xfId="1" applyNumberFormat="1" applyFont="1" applyFill="1" applyAlignment="1">
      <alignment vertical="bottom"/>
    </xf>
    <xf numFmtId="170" fontId="21" fillId="2" borderId="0" xfId="0" applyNumberFormat="1" applyFont="1" applyFill="1" applyAlignment="1">
      <alignment vertical="bottom"/>
    </xf>
    <xf numFmtId="0" fontId="27" fillId="2" borderId="19" xfId="0" applyFont="1" applyFill="1" applyBorder="1" applyAlignment="1">
      <alignment horizontal="center" vertical="bottom"/>
    </xf>
    <xf numFmtId="0" fontId="24" fillId="2" borderId="19" xfId="0" applyFont="1" applyFill="1" applyBorder="1" applyAlignment="1">
      <alignment vertical="bottom"/>
    </xf>
    <xf numFmtId="0" fontId="21" fillId="2" borderId="17" xfId="0" applyFont="1" applyFill="1" applyBorder="1" applyAlignment="1">
      <alignment horizontal="center" vertical="bottom"/>
    </xf>
    <xf numFmtId="0" fontId="16" fillId="6" borderId="13" xfId="0" applyFont="1" applyFill="1" applyBorder="1" applyAlignment="1">
      <alignment vertical="bottom"/>
    </xf>
    <xf numFmtId="0" fontId="16" fillId="6" borderId="0" xfId="0" applyFont="1" applyFill="1" applyAlignment="1">
      <alignment vertical="bottom"/>
    </xf>
    <xf numFmtId="0" fontId="16" fillId="6" borderId="15" xfId="0" applyFont="1" applyFill="1" applyBorder="1" applyAlignment="1">
      <alignment vertical="bottom"/>
    </xf>
    <xf numFmtId="0" fontId="28" fillId="4" borderId="21" xfId="0" applyFont="1" applyFill="1" applyBorder="1" applyAlignment="1">
      <alignment horizontal="center" vertical="center" wrapText="1"/>
    </xf>
    <xf numFmtId="0" fontId="21" fillId="2" borderId="0" xfId="0" applyFont="1" applyFill="1" applyAlignment="1">
      <alignment horizontal="center" vertical="bottom"/>
    </xf>
    <xf numFmtId="170" fontId="21" fillId="2" borderId="7" xfId="0" applyNumberFormat="1" applyFont="1" applyFill="1" applyBorder="1" applyAlignment="1">
      <alignment vertical="bottom"/>
    </xf>
    <xf numFmtId="171" fontId="17" fillId="2" borderId="0" xfId="1" applyNumberFormat="1" applyFont="1" applyFill="1" applyAlignment="1">
      <alignment vertical="bottom"/>
    </xf>
    <xf numFmtId="0" fontId="19" fillId="2" borderId="12" xfId="0" applyFont="1" applyFill="1" applyBorder="1">
      <alignment vertical="center"/>
    </xf>
    <xf numFmtId="0" fontId="19" fillId="2" borderId="12" xfId="0" applyFont="1" applyFill="1" applyBorder="1" applyAlignment="1">
      <alignment horizontal="center" vertical="center"/>
    </xf>
    <xf numFmtId="0" fontId="20" fillId="2" borderId="0" xfId="0" applyFont="1" applyFill="1">
      <alignment vertical="center"/>
    </xf>
    <xf numFmtId="0" fontId="20" fillId="2" borderId="0" xfId="0" applyFont="1" applyFill="1" applyAlignment="1">
      <alignment horizontal="center" vertical="center"/>
    </xf>
    <xf numFmtId="169" fontId="20" fillId="2" borderId="0" xfId="4" applyNumberFormat="1" applyFont="1" applyFill="1" applyBorder="1" applyAlignment="1">
      <alignment horizontal="right" vertical="bottom"/>
    </xf>
    <xf numFmtId="0" fontId="19" fillId="2" borderId="0" xfId="0" applyFont="1" applyFill="1" applyAlignment="1">
      <alignment vertical="bottom"/>
    </xf>
    <xf numFmtId="0" fontId="18" fillId="2" borderId="0" xfId="0" applyFont="1" applyFill="1" applyAlignment="1">
      <alignment horizontal="center" vertical="bottom"/>
    </xf>
    <xf numFmtId="3" fontId="19" fillId="2" borderId="0" xfId="4" applyNumberFormat="1" applyFont="1" applyFill="1" applyBorder="1" applyAlignment="1">
      <alignment vertical="bottom"/>
    </xf>
    <xf numFmtId="10" fontId="20" fillId="2" borderId="0" xfId="1" applyNumberFormat="1" applyFont="1" applyFill="1" applyBorder="1" applyAlignment="1">
      <alignment vertical="bottom"/>
    </xf>
    <xf numFmtId="168" fontId="18" fillId="2" borderId="0" xfId="0" applyNumberFormat="1" applyFont="1" applyFill="1" applyAlignment="1">
      <alignment vertical="bottom"/>
    </xf>
    <xf numFmtId="0" fontId="18" fillId="2" borderId="15" xfId="0" applyFont="1" applyFill="1" applyBorder="1" applyAlignment="1">
      <alignment vertical="bottom"/>
    </xf>
    <xf numFmtId="0" fontId="19" fillId="2" borderId="17" xfId="0" applyFont="1" applyFill="1" applyBorder="1" applyAlignment="1">
      <alignment vertical="bottom"/>
    </xf>
    <xf numFmtId="0" fontId="19" fillId="2" borderId="17" xfId="0" applyFont="1" applyFill="1" applyBorder="1" applyAlignment="1">
      <alignment horizontal="center" vertical="bottom"/>
    </xf>
    <xf numFmtId="169" fontId="19" fillId="2" borderId="17" xfId="4" applyNumberFormat="1" applyFont="1" applyFill="1" applyBorder="1" applyAlignment="1">
      <alignment vertical="bottom"/>
    </xf>
    <xf numFmtId="3" fontId="18" fillId="2" borderId="17" xfId="0" applyNumberFormat="1" applyFont="1" applyFill="1" applyBorder="1" applyAlignment="1">
      <alignment vertical="bottom"/>
    </xf>
    <xf numFmtId="0" fontId="15" fillId="2" borderId="17" xfId="0" applyFont="1" applyFill="1" applyBorder="1" applyAlignment="1">
      <alignment vertical="bottom" wrapText="1"/>
    </xf>
    <xf numFmtId="0" fontId="15" fillId="2" borderId="17" xfId="0" applyFont="1" applyFill="1" applyBorder="1" applyAlignment="1">
      <alignment vertical="bottom"/>
    </xf>
    <xf numFmtId="0" fontId="19" fillId="2" borderId="0" xfId="0" applyFont="1" applyFill="1" applyAlignment="1">
      <alignment horizontal="center" vertical="bottom"/>
    </xf>
    <xf numFmtId="169" fontId="19" fillId="2" borderId="0" xfId="4" applyNumberFormat="1" applyFont="1" applyFill="1" applyBorder="1" applyAlignment="1">
      <alignment vertical="bottom"/>
    </xf>
    <xf numFmtId="3" fontId="18" fillId="2" borderId="0" xfId="0" applyNumberFormat="1" applyFont="1" applyFill="1" applyAlignment="1">
      <alignment vertical="bottom"/>
    </xf>
    <xf numFmtId="168" fontId="18" fillId="2" borderId="0" xfId="0" applyNumberFormat="1" applyFont="1" applyFill="1" applyAlignment="1">
      <alignment horizontal="center" vertical="bottom"/>
    </xf>
    <xf numFmtId="169" fontId="18" fillId="2" borderId="0" xfId="0" applyNumberFormat="1" applyFont="1" applyFill="1" applyAlignment="1">
      <alignment vertical="bottom"/>
    </xf>
    <xf numFmtId="0" fontId="16" fillId="2" borderId="0" xfId="0" applyFont="1" applyFill="1" applyAlignment="1">
      <alignment horizontal="center" vertical="center"/>
    </xf>
  </cellXfs>
  <cellStyles count="5">
    <cellStyle name="常规" xfId="0" builtinId="0"/>
    <cellStyle name="百分比" xfId="1" builtinId="5"/>
    <cellStyle name="千位分隔[0]" xfId="2" builtinId="6"/>
    <cellStyle name="货币[0]" xfId="3" builtinId="7"/>
    <cellStyle name="千位分隔" xfId="4" builtinId="3"/>
  </cellStyles>
  <dxfs count="0"/>
  <tableStyles defaultTableStyle="TableStyleMedium2" defaultPivotStyle="PivotStyleLight16"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www.wps.cn/officeDocument/2020/cellImage" Target="cellimages.xml"/><Relationship Id="rId6" Type="http://schemas.openxmlformats.org/officeDocument/2006/relationships/sharedStrings" Target="sharedStrings.xml"/><Relationship Id="rId7" Type="http://schemas.openxmlformats.org/officeDocument/2006/relationships/styles" Target="styles.xml"/><Relationship Id="rId8" Type="http://schemas.openxmlformats.org/officeDocument/2006/relationships/theme" Target="theme/theme1.xml"/></Relationships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320832</xdr:colOff>
      <xdr:row>5</xdr:row>
      <xdr:rowOff>37504</xdr:rowOff>
    </xdr:from>
    <xdr:to>
      <xdr:col>11</xdr:col>
      <xdr:colOff>76154</xdr:colOff>
      <xdr:row>5</xdr:row>
      <xdr:rowOff>75679</xdr:rowOff>
    </xdr:to>
    <xdr:grpSp>
      <xdr:nvGrpSpPr>
        <xdr:cNvPr id="2" name=" "/>
        <xdr:cNvGrpSpPr/>
      </xdr:nvGrpSpPr>
      <xdr:grpSpPr>
        <a:xfrm>
          <a:off x="894646" y="75679"/>
          <a:ext cx="2492861" cy="16613962"/>
          <a:chOff x="1751965" y="1848485"/>
          <a:chExt cx="4772025" cy="54610"/>
        </a:xfrm>
      </xdr:grpSpPr>
      <xdr:sp macro="" textlink="">
        <xdr:nvSpPr>
          <xdr:cNvPr id="2" name="CustGemo"/>
          <xdr:cNvSpPr/>
        </xdr:nvSpPr>
        <xdr:spPr>
          <a:xfrm>
            <a:off x="1751965" y="1903095"/>
            <a:ext cx="4771390" cy="0"/>
          </a:xfrm>
          <a:custGeom>
            <a:avLst/>
            <a:gdLst>
              <a:gd name="T0" fmla="*/ 0 w 4772025"/>
              <a:gd name="T1" fmla="*/ 0 h 0"/>
              <a:gd name="T2" fmla="*/ 4772025 w 4772025"/>
              <a:gd name="T3" fmla="*/ 0 h 0"/>
            </a:gdLst>
            <a:ahLst/>
            <a:cxnLst>
              <a:cxn ang="0">
                <a:pos x="T0" y="T1"/>
              </a:cxn>
              <a:cxn ang="0">
                <a:pos x="T2" y="T3"/>
              </a:cxn>
            </a:cxnLst>
            <a:rect l="0" t="0" r="r" b="b"/>
            <a:pathLst>
              <a:path w="4772025" h="0">
                <a:moveTo>
                  <a:pt x="0" y="0"/>
                </a:moveTo>
                <a:lnTo>
                  <a:pt x="4772025" y="0"/>
                </a:lnTo>
              </a:path>
            </a:pathLst>
          </a:custGeom>
          <a:noFill/>
          <a:ln w="38100" cap="flat" cmpd="sng">
            <a:solidFill>
              <a:srgbClr val="548234"/>
            </a:solidFill>
            <a:prstDash val="solid"/>
            <a:miter/>
          </a:ln>
          <a:effectLst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anchor="t"/>
          <a:lstStyle/>
          <a:p>
            <a:pPr algn="l"/>
          </a:p>
        </xdr:txBody>
      </xdr:sp>
      <xdr:sp macro="" textlink="">
        <xdr:nvSpPr>
          <xdr:cNvPr id="3" name="CustGemo"/>
          <xdr:cNvSpPr/>
        </xdr:nvSpPr>
        <xdr:spPr>
          <a:xfrm>
            <a:off x="1752600" y="1848485"/>
            <a:ext cx="4771390" cy="0"/>
          </a:xfrm>
          <a:custGeom>
            <a:avLst/>
            <a:gdLst>
              <a:gd name="T0" fmla="*/ 0 w 4772025"/>
              <a:gd name="T1" fmla="*/ 0 h 0"/>
              <a:gd name="T2" fmla="*/ 4772025 w 4772025"/>
              <a:gd name="T3" fmla="*/ 0 h 0"/>
            </a:gdLst>
            <a:ahLst/>
            <a:cxnLst>
              <a:cxn ang="0">
                <a:pos x="T0" y="T1"/>
              </a:cxn>
              <a:cxn ang="0">
                <a:pos x="T2" y="T3"/>
              </a:cxn>
            </a:cxnLst>
            <a:rect l="0" t="0" r="r" b="b"/>
            <a:pathLst>
              <a:path w="4772025" h="0">
                <a:moveTo>
                  <a:pt x="0" y="0"/>
                </a:moveTo>
                <a:lnTo>
                  <a:pt x="4772025" y="0"/>
                </a:lnTo>
              </a:path>
            </a:pathLst>
          </a:custGeom>
          <a:noFill/>
          <a:ln w="9525" cap="flat" cmpd="sng">
            <a:solidFill>
              <a:srgbClr val="548234"/>
            </a:solidFill>
            <a:prstDash val="solid"/>
            <a:miter/>
          </a:ln>
          <a:effectLst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anchor="t"/>
          <a:lstStyle/>
          <a:p>
            <a:pPr algn="l"/>
          </a:p>
        </xdr:txBody>
      </xdr: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320832</xdr:colOff>
      <xdr:row>5</xdr:row>
      <xdr:rowOff>37504</xdr:rowOff>
    </xdr:from>
    <xdr:to>
      <xdr:col>11</xdr:col>
      <xdr:colOff>76154</xdr:colOff>
      <xdr:row>5</xdr:row>
      <xdr:rowOff>75679</xdr:rowOff>
    </xdr:to>
    <xdr:grpSp>
      <xdr:nvGrpSpPr>
        <xdr:cNvPr id="2" name=" "/>
        <xdr:cNvGrpSpPr/>
      </xdr:nvGrpSpPr>
      <xdr:grpSpPr>
        <a:xfrm>
          <a:off x="894646" y="75679"/>
          <a:ext cx="2492861" cy="16613962"/>
          <a:chOff x="1751965" y="1848485"/>
          <a:chExt cx="4772025" cy="54610"/>
        </a:xfrm>
      </xdr:grpSpPr>
      <xdr:sp macro="" textlink="">
        <xdr:nvSpPr>
          <xdr:cNvPr id="2" name="CustGemo"/>
          <xdr:cNvSpPr/>
        </xdr:nvSpPr>
        <xdr:spPr>
          <a:xfrm>
            <a:off x="1751965" y="1903095"/>
            <a:ext cx="4771390" cy="0"/>
          </a:xfrm>
          <a:custGeom>
            <a:avLst/>
            <a:gdLst>
              <a:gd name="T0" fmla="*/ 0 w 4772025"/>
              <a:gd name="T1" fmla="*/ 0 h 0"/>
              <a:gd name="T2" fmla="*/ 4772025 w 4772025"/>
              <a:gd name="T3" fmla="*/ 0 h 0"/>
            </a:gdLst>
            <a:ahLst/>
            <a:cxnLst>
              <a:cxn ang="0">
                <a:pos x="T0" y="T1"/>
              </a:cxn>
              <a:cxn ang="0">
                <a:pos x="T2" y="T3"/>
              </a:cxn>
            </a:cxnLst>
            <a:rect l="0" t="0" r="r" b="b"/>
            <a:pathLst>
              <a:path w="4772025" h="0">
                <a:moveTo>
                  <a:pt x="0" y="0"/>
                </a:moveTo>
                <a:lnTo>
                  <a:pt x="4772025" y="0"/>
                </a:lnTo>
              </a:path>
            </a:pathLst>
          </a:custGeom>
          <a:noFill/>
          <a:ln w="38100" cap="flat" cmpd="sng">
            <a:solidFill>
              <a:srgbClr val="548234"/>
            </a:solidFill>
            <a:prstDash val="solid"/>
            <a:miter/>
          </a:ln>
          <a:effectLst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anchor="t"/>
          <a:lstStyle/>
          <a:p>
            <a:pPr algn="l"/>
          </a:p>
        </xdr:txBody>
      </xdr:sp>
      <xdr:sp macro="" textlink="">
        <xdr:nvSpPr>
          <xdr:cNvPr id="3" name="CustGemo"/>
          <xdr:cNvSpPr/>
        </xdr:nvSpPr>
        <xdr:spPr>
          <a:xfrm>
            <a:off x="1752600" y="1848485"/>
            <a:ext cx="4771390" cy="0"/>
          </a:xfrm>
          <a:custGeom>
            <a:avLst/>
            <a:gdLst>
              <a:gd name="T0" fmla="*/ 0 w 4772025"/>
              <a:gd name="T1" fmla="*/ 0 h 0"/>
              <a:gd name="T2" fmla="*/ 4772025 w 4772025"/>
              <a:gd name="T3" fmla="*/ 0 h 0"/>
            </a:gdLst>
            <a:ahLst/>
            <a:cxnLst>
              <a:cxn ang="0">
                <a:pos x="T0" y="T1"/>
              </a:cxn>
              <a:cxn ang="0">
                <a:pos x="T2" y="T3"/>
              </a:cxn>
            </a:cxnLst>
            <a:rect l="0" t="0" r="r" b="b"/>
            <a:pathLst>
              <a:path w="4772025" h="0">
                <a:moveTo>
                  <a:pt x="0" y="0"/>
                </a:moveTo>
                <a:lnTo>
                  <a:pt x="4772025" y="0"/>
                </a:lnTo>
              </a:path>
            </a:pathLst>
          </a:custGeom>
          <a:noFill/>
          <a:ln w="9525" cap="flat" cmpd="sng">
            <a:solidFill>
              <a:srgbClr val="548234"/>
            </a:solidFill>
            <a:prstDash val="solid"/>
            <a:miter/>
          </a:ln>
          <a:effectLst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anchor="t"/>
          <a:lstStyle/>
          <a:p>
            <a:pPr algn="l"/>
          </a:p>
        </xdr:txBody>
      </xdr:sp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665971</xdr:colOff>
      <xdr:row>5</xdr:row>
      <xdr:rowOff>63251</xdr:rowOff>
    </xdr:from>
    <xdr:to>
      <xdr:col>11</xdr:col>
      <xdr:colOff>848955</xdr:colOff>
      <xdr:row>5</xdr:row>
      <xdr:rowOff>113853</xdr:rowOff>
    </xdr:to>
    <xdr:grpSp>
      <xdr:nvGrpSpPr>
        <xdr:cNvPr id="2" name=" "/>
        <xdr:cNvGrpSpPr/>
      </xdr:nvGrpSpPr>
      <xdr:grpSpPr>
        <a:xfrm>
          <a:off x="1015631" y="113853"/>
          <a:ext cx="4049772" cy="18125189"/>
          <a:chOff x="1751965" y="1848485"/>
          <a:chExt cx="4772025" cy="54610"/>
        </a:xfrm>
      </xdr:grpSpPr>
      <xdr:sp macro="" textlink="">
        <xdr:nvSpPr>
          <xdr:cNvPr id="2" name="CustGemo"/>
          <xdr:cNvSpPr/>
        </xdr:nvSpPr>
        <xdr:spPr>
          <a:xfrm>
            <a:off x="1751965" y="1903095"/>
            <a:ext cx="4771390" cy="0"/>
          </a:xfrm>
          <a:custGeom>
            <a:avLst/>
            <a:gdLst>
              <a:gd name="T0" fmla="*/ 0 w 4772025"/>
              <a:gd name="T1" fmla="*/ 0 h 0"/>
              <a:gd name="T2" fmla="*/ 4772025 w 4772025"/>
              <a:gd name="T3" fmla="*/ 0 h 0"/>
            </a:gdLst>
            <a:ahLst/>
            <a:cxnLst>
              <a:cxn ang="0">
                <a:pos x="T0" y="T1"/>
              </a:cxn>
              <a:cxn ang="0">
                <a:pos x="T2" y="T3"/>
              </a:cxn>
            </a:cxnLst>
            <a:rect l="0" t="0" r="r" b="b"/>
            <a:pathLst>
              <a:path w="4772025" h="0">
                <a:moveTo>
                  <a:pt x="0" y="0"/>
                </a:moveTo>
                <a:lnTo>
                  <a:pt x="4772025" y="0"/>
                </a:lnTo>
              </a:path>
            </a:pathLst>
          </a:custGeom>
          <a:noFill/>
          <a:ln w="38100" cap="flat" cmpd="sng">
            <a:solidFill>
              <a:srgbClr val="548234"/>
            </a:solidFill>
            <a:prstDash val="solid"/>
            <a:miter/>
          </a:ln>
          <a:effectLst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anchor="t"/>
          <a:lstStyle/>
          <a:p>
            <a:pPr algn="l"/>
          </a:p>
        </xdr:txBody>
      </xdr:sp>
      <xdr:sp macro="" textlink="">
        <xdr:nvSpPr>
          <xdr:cNvPr id="3" name="CustGemo"/>
          <xdr:cNvSpPr/>
        </xdr:nvSpPr>
        <xdr:spPr>
          <a:xfrm>
            <a:off x="1752600" y="1848485"/>
            <a:ext cx="4771390" cy="0"/>
          </a:xfrm>
          <a:custGeom>
            <a:avLst/>
            <a:gdLst>
              <a:gd name="T0" fmla="*/ 0 w 4772025"/>
              <a:gd name="T1" fmla="*/ 0 h 0"/>
              <a:gd name="T2" fmla="*/ 4772025 w 4772025"/>
              <a:gd name="T3" fmla="*/ 0 h 0"/>
            </a:gdLst>
            <a:ahLst/>
            <a:cxnLst>
              <a:cxn ang="0">
                <a:pos x="T0" y="T1"/>
              </a:cxn>
              <a:cxn ang="0">
                <a:pos x="T2" y="T3"/>
              </a:cxn>
            </a:cxnLst>
            <a:rect l="0" t="0" r="r" b="b"/>
            <a:pathLst>
              <a:path w="4772025" h="0">
                <a:moveTo>
                  <a:pt x="0" y="0"/>
                </a:moveTo>
                <a:lnTo>
                  <a:pt x="4772025" y="0"/>
                </a:lnTo>
              </a:path>
            </a:pathLst>
          </a:custGeom>
          <a:noFill/>
          <a:ln w="9525" cap="flat" cmpd="sng">
            <a:solidFill>
              <a:srgbClr val="548234"/>
            </a:solidFill>
            <a:prstDash val="solid"/>
            <a:miter/>
          </a:ln>
          <a:effectLst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anchor="t"/>
          <a:lstStyle/>
          <a:p>
            <a:pPr algn="l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B6:F9"/>
  <sheetViews>
    <sheetView workbookViewId="0" zoomScale="38">
      <selection activeCell="E7" sqref="E7"/>
    </sheetView>
  </sheetViews>
  <sheetFormatPr defaultRowHeight="21.0" defaultColWidth="11"/>
  <cols>
    <col min="1" max="1" customWidth="0" width="11.566406" style="1"/>
    <col min="2" max="2" customWidth="1" bestFit="1" width="16.410156" style="1"/>
    <col min="3" max="3" customWidth="1" width="54.48047" style="1"/>
    <col min="4" max="4" customWidth="0" width="11.566406" style="1"/>
    <col min="5" max="5" customWidth="1" width="24.75" style="1"/>
    <col min="6" max="16384" customWidth="0" width="11.566406" style="1"/>
  </cols>
  <sheetData>
    <row r="7" spans="8:8" ht="22.45">
      <c r="B7" s="2" t="s">
        <v>58</v>
      </c>
      <c r="C7" s="1" t="s">
        <v>133</v>
      </c>
      <c r="D7" s="2" t="s">
        <v>59</v>
      </c>
      <c r="E7" s="1">
        <v>1.094221434E9</v>
      </c>
    </row>
    <row r="9" spans="8:8" ht="22.65">
      <c r="B9" s="2" t="s">
        <v>60</v>
      </c>
      <c r="C9" s="1" t="s">
        <v>134</v>
      </c>
      <c r="D9" s="2" t="s">
        <v>61</v>
      </c>
      <c r="E9" s="1">
        <v>1.029662929E9</v>
      </c>
    </row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B1:W65"/>
  <sheetViews>
    <sheetView workbookViewId="0" topLeftCell="G1" zoomScale="40">
      <selection activeCell="K59" sqref="K59"/>
    </sheetView>
  </sheetViews>
  <sheetFormatPr defaultRowHeight="13.5" defaultColWidth="11"/>
  <cols>
    <col min="1" max="1" customWidth="1" width="5.3789062" style="3"/>
    <col min="2" max="4" customWidth="1" width="2.6875" style="3"/>
    <col min="5" max="5" customWidth="1" bestFit="1" width="37.933594" style="3"/>
    <col min="6" max="6" customWidth="1" width="7.2617188" style="4"/>
    <col min="7" max="7" customWidth="1" width="16.679688" style="3"/>
    <col min="8" max="8" customWidth="1" width="3.359375" style="3"/>
    <col min="9" max="9" customWidth="1" width="16.679688" style="3"/>
    <col min="10" max="10" customWidth="1" width="2.6875" style="3"/>
    <col min="11" max="11" customWidth="1" width="16.679688" style="3"/>
    <col min="12" max="13" customWidth="1" width="3.4960938" style="3"/>
    <col min="14" max="14" customWidth="1" width="10.625" style="5"/>
    <col min="15" max="15" customWidth="1" width="1.8828125" style="6"/>
    <col min="16" max="16" customWidth="1" width="10.625" style="7"/>
    <col min="17" max="17" customWidth="1" width="1.6132812" style="8"/>
    <col min="18" max="18" customWidth="1" width="2.4179688" style="6"/>
    <col min="19" max="19" customWidth="1" bestFit="1" width="14.9296875" style="9"/>
    <col min="20" max="20" customWidth="1" width="2.6875" style="8"/>
    <col min="21" max="21" customWidth="1" width="12.5078125" style="7"/>
    <col min="22" max="22" customWidth="1" width="15.6015625" style="3"/>
    <col min="23" max="24" customWidth="1" width="3.4960938" style="3"/>
    <col min="25" max="16384" customWidth="0" width="11.433594" style="3"/>
  </cols>
  <sheetData>
    <row r="2" spans="8:8">
      <c r="B2" s="10"/>
      <c r="C2" s="11"/>
      <c r="D2" s="11"/>
      <c r="E2" s="11"/>
      <c r="F2" s="12"/>
      <c r="G2" s="11"/>
      <c r="H2" s="11"/>
      <c r="I2" s="11"/>
      <c r="J2" s="11"/>
      <c r="K2" s="11"/>
      <c r="L2" s="13"/>
      <c r="N2" s="3"/>
      <c r="O2" s="3"/>
      <c r="P2" s="3"/>
      <c r="Q2" s="3"/>
      <c r="R2" s="3"/>
      <c r="S2" s="3"/>
      <c r="T2" s="3"/>
      <c r="U2" s="3"/>
    </row>
    <row r="3" spans="8:8">
      <c r="B3" s="14"/>
      <c r="E3" s="15" t="s">
        <v>55</v>
      </c>
      <c r="F3" s="15"/>
      <c r="G3" s="15"/>
      <c r="H3" s="15"/>
      <c r="I3" s="15"/>
      <c r="J3" s="15"/>
      <c r="K3" s="15"/>
      <c r="L3" s="16"/>
      <c r="N3" s="3"/>
      <c r="O3" s="3"/>
      <c r="P3" s="3"/>
      <c r="Q3" s="3"/>
      <c r="R3" s="3"/>
      <c r="S3" s="3"/>
      <c r="T3" s="3"/>
      <c r="U3" s="3"/>
    </row>
    <row r="4" spans="8:8">
      <c r="B4" s="14"/>
      <c r="E4" s="17" t="s">
        <v>56</v>
      </c>
      <c r="F4" s="17"/>
      <c r="G4" s="17"/>
      <c r="H4" s="17"/>
      <c r="I4" s="17"/>
      <c r="J4" s="17"/>
      <c r="K4" s="17"/>
      <c r="L4" s="16"/>
      <c r="N4" s="3"/>
      <c r="O4" s="3"/>
      <c r="P4" s="3"/>
      <c r="Q4" s="3"/>
      <c r="R4" s="3"/>
      <c r="S4" s="3"/>
      <c r="T4" s="3"/>
      <c r="U4" s="3"/>
      <c r="V4" s="18"/>
    </row>
    <row r="5" spans="8:8">
      <c r="B5" s="14"/>
      <c r="E5" s="17" t="s">
        <v>57</v>
      </c>
      <c r="F5" s="17"/>
      <c r="G5" s="17"/>
      <c r="H5" s="17"/>
      <c r="I5" s="17"/>
      <c r="J5" s="17"/>
      <c r="K5" s="17"/>
      <c r="L5" s="16"/>
      <c r="N5" s="3"/>
      <c r="O5" s="3"/>
      <c r="P5" s="3"/>
      <c r="Q5" s="3"/>
      <c r="R5" s="3"/>
      <c r="S5" s="3"/>
      <c r="T5" s="3"/>
      <c r="U5" s="3"/>
    </row>
    <row r="6" spans="8:8">
      <c r="B6" s="19"/>
      <c r="C6" s="20"/>
      <c r="D6" s="20"/>
      <c r="E6" s="20"/>
      <c r="F6" s="21"/>
      <c r="G6" s="20"/>
      <c r="H6" s="20"/>
      <c r="I6" s="20"/>
      <c r="J6" s="20"/>
      <c r="K6" s="20"/>
      <c r="L6" s="22"/>
      <c r="N6" s="23" t="s">
        <v>86</v>
      </c>
      <c r="O6" s="23"/>
      <c r="P6" s="23"/>
      <c r="Q6" s="23"/>
      <c r="S6" s="23" t="s">
        <v>87</v>
      </c>
      <c r="T6" s="23"/>
      <c r="U6" s="23"/>
    </row>
    <row r="7" spans="8:8" ht="22.5">
      <c r="B7" s="10"/>
      <c r="C7" s="11"/>
      <c r="D7" s="11"/>
      <c r="E7" s="24" t="s">
        <v>0</v>
      </c>
      <c r="F7" s="24"/>
      <c r="G7" s="24"/>
      <c r="H7" s="24"/>
      <c r="I7" s="24"/>
      <c r="J7" s="24"/>
      <c r="K7" s="24"/>
      <c r="L7" s="13"/>
      <c r="N7" s="25" t="s">
        <v>88</v>
      </c>
      <c r="O7" s="25"/>
      <c r="P7" s="25" t="s">
        <v>89</v>
      </c>
      <c r="Q7" s="25"/>
      <c r="S7" s="26" t="s">
        <v>90</v>
      </c>
      <c r="T7" s="27"/>
      <c r="U7" s="28" t="s">
        <v>91</v>
      </c>
    </row>
    <row r="8" spans="8:8">
      <c r="B8" s="14"/>
      <c r="E8" s="29" t="s">
        <v>1</v>
      </c>
      <c r="F8" s="29"/>
      <c r="G8" s="29"/>
      <c r="H8" s="29"/>
      <c r="I8" s="29"/>
      <c r="J8" s="29"/>
      <c r="K8" s="29"/>
      <c r="L8" s="16"/>
      <c r="N8" s="30"/>
      <c r="P8" s="31"/>
      <c r="Q8" s="32"/>
      <c r="T8" s="32"/>
      <c r="U8" s="30"/>
    </row>
    <row r="9" spans="8:8">
      <c r="B9" s="14"/>
      <c r="L9" s="16"/>
      <c r="N9" s="33"/>
      <c r="P9" s="34"/>
      <c r="S9" s="35"/>
      <c r="U9" s="33"/>
    </row>
    <row r="10" spans="8:8" ht="27.0">
      <c r="B10" s="14"/>
      <c r="E10" s="36" t="s">
        <v>2</v>
      </c>
      <c r="F10" s="36" t="s">
        <v>3</v>
      </c>
      <c r="G10" s="37" t="s">
        <v>4</v>
      </c>
      <c r="I10" s="37" t="s">
        <v>5</v>
      </c>
      <c r="K10" s="37" t="s">
        <v>6</v>
      </c>
      <c r="L10" s="16"/>
      <c r="N10" s="34"/>
      <c r="P10" s="34"/>
      <c r="S10" s="35"/>
      <c r="U10" s="33"/>
    </row>
    <row r="11" spans="8:8">
      <c r="B11" s="14"/>
      <c r="C11" s="38" t="s">
        <v>7</v>
      </c>
      <c r="F11" s="36"/>
      <c r="G11" s="39" t="s">
        <v>8</v>
      </c>
      <c r="H11" s="40"/>
      <c r="I11" s="39" t="s">
        <v>8</v>
      </c>
      <c r="J11" s="40"/>
      <c r="K11" s="39" t="s">
        <v>8</v>
      </c>
      <c r="L11" s="16"/>
      <c r="N11" s="34"/>
      <c r="P11" s="34"/>
      <c r="S11" s="35"/>
      <c r="U11" s="33"/>
    </row>
    <row r="12" spans="8:8">
      <c r="B12" s="14"/>
      <c r="D12" s="38" t="s">
        <v>9</v>
      </c>
      <c r="F12" s="36"/>
      <c r="G12" s="41"/>
      <c r="I12" s="41"/>
      <c r="K12" s="41"/>
      <c r="L12" s="16"/>
      <c r="N12" s="34"/>
      <c r="P12" s="34"/>
      <c r="S12" s="35"/>
      <c r="U12" s="33"/>
    </row>
    <row r="13" spans="8:8">
      <c r="B13" s="14"/>
      <c r="E13" s="42" t="s">
        <v>10</v>
      </c>
      <c r="F13" s="36">
        <v>6.0</v>
      </c>
      <c r="G13" s="43">
        <v>8.9245032E8</v>
      </c>
      <c r="I13" s="43">
        <v>1.18423578E9</v>
      </c>
      <c r="K13" s="43">
        <v>6.9832045E8</v>
      </c>
      <c r="L13" s="16"/>
      <c r="N13" s="34">
        <f>G13/G$26</f>
        <v>0.31861846483398787</v>
      </c>
      <c r="P13" s="34">
        <f>I13/I$26</f>
        <v>0.4981291633955582</v>
      </c>
      <c r="S13" s="35">
        <f>G13-I13</f>
        <v>-2.9178546E8</v>
      </c>
      <c r="U13" s="33">
        <f>N13-P13</f>
        <v>-0.17951069856157004</v>
      </c>
    </row>
    <row r="14" spans="8:8">
      <c r="B14" s="14"/>
      <c r="E14" s="42" t="s">
        <v>11</v>
      </c>
      <c r="F14" s="36">
        <v>7.0</v>
      </c>
      <c r="G14" s="43">
        <v>5.3870125E7</v>
      </c>
      <c r="I14" s="43">
        <v>2.896431E7</v>
      </c>
      <c r="K14" s="43">
        <v>9845200.0</v>
      </c>
      <c r="L14" s="16"/>
      <c r="N14" s="34">
        <f t="shared" si="0" ref="N14:N16">G14/G$26</f>
        <v>0.019232461620849697</v>
      </c>
      <c r="P14" s="34">
        <f t="shared" si="1" ref="P14:P17">I14/I$26</f>
        <v>0.012183357193133956</v>
      </c>
      <c r="S14" s="35">
        <f t="shared" si="2" ref="S14:S17">G14-I14</f>
        <v>2.4905815E7</v>
      </c>
      <c r="U14" s="33">
        <f t="shared" si="3" ref="U14:U17">N14-P14</f>
        <v>0.0070491044277157</v>
      </c>
    </row>
    <row r="15" spans="8:8">
      <c r="B15" s="14"/>
      <c r="E15" s="42" t="s">
        <v>12</v>
      </c>
      <c r="F15" s="36">
        <v>8.0</v>
      </c>
      <c r="G15" s="43">
        <v>4.861598E7</v>
      </c>
      <c r="I15" s="43">
        <v>2.37546E7</v>
      </c>
      <c r="K15" s="43">
        <v>4965800.0</v>
      </c>
      <c r="L15" s="16"/>
      <c r="N15" s="34">
        <f t="shared" si="0"/>
        <v>0.017356651196001428</v>
      </c>
      <c r="P15" s="34">
        <f t="shared" si="1"/>
        <v>0.009991978983100922</v>
      </c>
      <c r="S15" s="35">
        <f t="shared" si="2"/>
        <v>2.486138E7</v>
      </c>
      <c r="U15" s="33">
        <f t="shared" si="3"/>
        <v>0.007364672212900479</v>
      </c>
    </row>
    <row r="16" spans="8:8">
      <c r="B16" s="14"/>
      <c r="E16" s="42" t="s">
        <v>13</v>
      </c>
      <c r="F16" s="36">
        <v>9.0</v>
      </c>
      <c r="G16" s="44">
        <v>2.4983745E7</v>
      </c>
      <c r="I16" s="44">
        <v>1.486025E7</v>
      </c>
      <c r="K16" s="44">
        <v>6210900.0</v>
      </c>
      <c r="L16" s="16"/>
      <c r="N16" s="34">
        <f t="shared" si="0"/>
        <v>0.008919580506961799</v>
      </c>
      <c r="P16" s="34">
        <f t="shared" si="1"/>
        <v>0.006250717994983097</v>
      </c>
      <c r="S16" s="35">
        <f t="shared" si="2"/>
        <v>1.0123495E7</v>
      </c>
      <c r="U16" s="33">
        <f t="shared" si="3"/>
        <v>0.002668862511978701</v>
      </c>
    </row>
    <row r="17" spans="8:8">
      <c r="B17" s="14"/>
      <c r="E17" s="45" t="s">
        <v>14</v>
      </c>
      <c r="F17" s="36"/>
      <c r="G17" s="46">
        <v>1.01992017E9</v>
      </c>
      <c r="I17" s="46">
        <v>1.25181494E9</v>
      </c>
      <c r="K17" s="46">
        <v>7.1934235E8</v>
      </c>
      <c r="L17" s="16"/>
      <c r="N17" s="33">
        <f>G17/G26</f>
        <v>0.3641271581578008</v>
      </c>
      <c r="P17" s="33">
        <f t="shared" si="1"/>
        <v>0.5265552175667761</v>
      </c>
      <c r="S17" s="47">
        <f t="shared" si="2"/>
        <v>-2.3189477E8</v>
      </c>
      <c r="U17" s="33">
        <f t="shared" si="3"/>
        <v>-0.16242805940897503</v>
      </c>
    </row>
    <row r="18" spans="8:8">
      <c r="B18" s="14"/>
      <c r="D18" s="38" t="s">
        <v>15</v>
      </c>
      <c r="E18" s="45"/>
      <c r="F18" s="36"/>
      <c r="L18" s="16"/>
      <c r="N18" s="34"/>
      <c r="P18" s="34"/>
      <c r="S18" s="35"/>
      <c r="U18" s="33"/>
    </row>
    <row r="19" spans="8:8">
      <c r="B19" s="14"/>
      <c r="E19" s="42" t="s">
        <v>16</v>
      </c>
      <c r="F19" s="36">
        <v>10.0</v>
      </c>
      <c r="G19" s="43">
        <v>7.0236588E8</v>
      </c>
      <c r="I19" s="43">
        <v>3.987542E8</v>
      </c>
      <c r="K19" s="43">
        <v>1.526305E8</v>
      </c>
      <c r="L19" s="16"/>
      <c r="N19" s="34">
        <f>G19/G$26</f>
        <v>0.2507554016422706</v>
      </c>
      <c r="P19" s="34">
        <f>I19/I$26</f>
        <v>0.16772934866607822</v>
      </c>
      <c r="S19" s="35">
        <f>G19-I19</f>
        <v>3.0361168E8</v>
      </c>
      <c r="U19" s="33">
        <f>N19-P19</f>
        <v>0.083026052976193</v>
      </c>
    </row>
    <row r="20" spans="8:8">
      <c r="B20" s="14"/>
      <c r="E20" s="42" t="s">
        <v>17</v>
      </c>
      <c r="F20" s="36">
        <v>11.0</v>
      </c>
      <c r="G20" s="43">
        <v>8.9874056E8</v>
      </c>
      <c r="I20" s="43">
        <v>6.1248035E8</v>
      </c>
      <c r="K20" s="43">
        <v>3.0214578E8</v>
      </c>
      <c r="L20" s="16"/>
      <c r="N20" s="34">
        <f t="shared" si="4" ref="N20:N24">G20/G$26</f>
        <v>0.3208641770796144</v>
      </c>
      <c r="P20" s="34">
        <f t="shared" si="5" ref="P20:P25">I20/I$26</f>
        <v>0.2576297131823856</v>
      </c>
      <c r="S20" s="35">
        <f t="shared" si="6" ref="S20:S26">G20-I20</f>
        <v>2.8626021E8</v>
      </c>
      <c r="U20" s="33">
        <f t="shared" si="7" ref="U20:U26">N20-P20</f>
        <v>0.06323446389722803</v>
      </c>
    </row>
    <row r="21" spans="8:8">
      <c r="B21" s="14"/>
      <c r="E21" s="42" t="s">
        <v>18</v>
      </c>
      <c r="F21" s="36">
        <v>12.0</v>
      </c>
      <c r="G21" s="43">
        <v>3.12459E7</v>
      </c>
      <c r="I21" s="43">
        <v>1.98456E7</v>
      </c>
      <c r="K21" s="43">
        <v>9980450.0</v>
      </c>
      <c r="L21" s="16"/>
      <c r="N21" s="34">
        <f t="shared" si="4"/>
        <v>0.011155265976436986</v>
      </c>
      <c r="P21" s="34">
        <f t="shared" si="5"/>
        <v>0.008347722887652398</v>
      </c>
      <c r="S21" s="35">
        <f t="shared" si="6"/>
        <v>1.14003E7</v>
      </c>
      <c r="U21" s="33">
        <f t="shared" si="7"/>
        <v>0.0028075430887846003</v>
      </c>
    </row>
    <row r="22" spans="8:8">
      <c r="B22" s="14"/>
      <c r="E22" s="42" t="s">
        <v>19</v>
      </c>
      <c r="F22" s="36">
        <v>13.0</v>
      </c>
      <c r="G22" s="43">
        <v>7.986543E7</v>
      </c>
      <c r="I22" s="43">
        <v>4.86207E7</v>
      </c>
      <c r="K22" s="43">
        <v>2.13609E7</v>
      </c>
      <c r="L22" s="16"/>
      <c r="N22" s="34">
        <f t="shared" si="4"/>
        <v>0.028513184576936808</v>
      </c>
      <c r="P22" s="34">
        <f t="shared" si="5"/>
        <v>0.02045149202864519</v>
      </c>
      <c r="S22" s="35">
        <f t="shared" si="6"/>
        <v>3.124473E7</v>
      </c>
      <c r="U22" s="33">
        <f t="shared" si="7"/>
        <v>0.008061692548291602</v>
      </c>
    </row>
    <row r="23" spans="8:8">
      <c r="B23" s="14"/>
      <c r="E23" s="42" t="s">
        <v>20</v>
      </c>
      <c r="F23" s="36">
        <v>14.0</v>
      </c>
      <c r="G23" s="43">
        <v>3.895276E7</v>
      </c>
      <c r="I23" s="43">
        <v>2.74305E7</v>
      </c>
      <c r="K23" s="43">
        <v>1.12453E7</v>
      </c>
      <c r="L23" s="16"/>
      <c r="N23" s="34">
        <f t="shared" si="4"/>
        <v>0.01390673330953231</v>
      </c>
      <c r="P23" s="34">
        <f t="shared" si="5"/>
        <v>0.01153818542496821</v>
      </c>
      <c r="S23" s="35">
        <f t="shared" si="6"/>
        <v>1.152226E7</v>
      </c>
      <c r="U23" s="33">
        <f t="shared" si="7"/>
        <v>0.0023685478845640994</v>
      </c>
    </row>
    <row r="24" spans="8:8">
      <c r="B24" s="14"/>
      <c r="E24" s="42" t="s">
        <v>21</v>
      </c>
      <c r="F24" s="36">
        <v>15.0</v>
      </c>
      <c r="G24" s="44">
        <v>2.99093E7</v>
      </c>
      <c r="I24" s="44">
        <v>1.84206E7</v>
      </c>
      <c r="K24" s="44">
        <v>9780700.0</v>
      </c>
      <c r="L24" s="16"/>
      <c r="N24" s="34">
        <f t="shared" si="4"/>
        <v>0.010678079257408069</v>
      </c>
      <c r="P24" s="34">
        <f t="shared" si="5"/>
        <v>0.007748320243494263</v>
      </c>
      <c r="S24" s="35">
        <f t="shared" si="6"/>
        <v>1.14887E7</v>
      </c>
      <c r="U24" s="33">
        <f t="shared" si="7"/>
        <v>0.0029297590139138402</v>
      </c>
    </row>
    <row r="25" spans="8:8">
      <c r="B25" s="14"/>
      <c r="E25" s="45" t="s">
        <v>22</v>
      </c>
      <c r="F25" s="36"/>
      <c r="G25" s="48">
        <v>1.78107983E9</v>
      </c>
      <c r="I25" s="48">
        <v>1.12555195E9</v>
      </c>
      <c r="K25" s="48">
        <v>5.0714363E8</v>
      </c>
      <c r="L25" s="16"/>
      <c r="N25" s="33">
        <f>G25/G$26</f>
        <v>0.6358728418421992</v>
      </c>
      <c r="P25" s="33">
        <f t="shared" si="5"/>
        <v>0.47344478243322385</v>
      </c>
      <c r="S25" s="47">
        <f t="shared" si="6"/>
        <v>6.5552788E8</v>
      </c>
      <c r="U25" s="33">
        <f t="shared" si="7"/>
        <v>0.16242805940897503</v>
      </c>
    </row>
    <row r="26" spans="8:8" ht="14.25">
      <c r="B26" s="14"/>
      <c r="E26" s="45" t="s">
        <v>23</v>
      </c>
      <c r="F26" s="36"/>
      <c r="G26" s="49">
        <v>2.801E9</v>
      </c>
      <c r="I26" s="49">
        <v>2.37736689E9</v>
      </c>
      <c r="K26" s="49">
        <v>1.22648598E9</v>
      </c>
      <c r="L26" s="16"/>
      <c r="N26" s="34">
        <f>N25+N17</f>
        <v>1.0</v>
      </c>
      <c r="P26" s="34">
        <f>P25+P17</f>
        <v>1.0</v>
      </c>
      <c r="S26" s="35">
        <f t="shared" si="6"/>
        <v>4.2363311E8</v>
      </c>
      <c r="U26" s="33">
        <f t="shared" si="7"/>
        <v>0.0</v>
      </c>
    </row>
    <row r="27" spans="8:8" ht="14.25">
      <c r="B27" s="14"/>
      <c r="E27" s="45"/>
      <c r="F27" s="36"/>
      <c r="L27" s="16"/>
      <c r="N27" s="34"/>
      <c r="P27" s="34"/>
      <c r="S27" s="35"/>
      <c r="U27" s="33"/>
    </row>
    <row r="28" spans="8:8">
      <c r="B28" s="14"/>
      <c r="C28" s="50" t="s">
        <v>24</v>
      </c>
      <c r="E28" s="45"/>
      <c r="F28" s="36"/>
      <c r="G28" s="39"/>
      <c r="H28" s="40"/>
      <c r="I28" s="39"/>
      <c r="J28" s="40"/>
      <c r="K28" s="39"/>
      <c r="L28" s="16"/>
      <c r="N28" s="34"/>
      <c r="P28" s="34"/>
      <c r="S28" s="35"/>
      <c r="U28" s="33"/>
    </row>
    <row r="29" spans="8:8">
      <c r="B29" s="14"/>
      <c r="C29" s="50"/>
      <c r="D29" s="38" t="s">
        <v>25</v>
      </c>
      <c r="E29" s="45"/>
      <c r="F29" s="36"/>
      <c r="G29" s="41"/>
      <c r="I29" s="41"/>
      <c r="K29" s="41"/>
      <c r="L29" s="16"/>
      <c r="N29" s="34"/>
      <c r="P29" s="34"/>
      <c r="S29" s="35"/>
      <c r="U29" s="33"/>
    </row>
    <row r="30" spans="8:8">
      <c r="B30" s="14"/>
      <c r="E30" s="42" t="s">
        <v>26</v>
      </c>
      <c r="F30" s="36">
        <v>16.0</v>
      </c>
      <c r="G30" s="44">
        <v>6845320.0</v>
      </c>
      <c r="I30" s="44">
        <v>4960210.0</v>
      </c>
      <c r="K30" s="44">
        <v>2145980.0</v>
      </c>
      <c r="L30" s="16"/>
      <c r="N30" s="34">
        <f>G30/G$43</f>
        <v>0.002443884327026062</v>
      </c>
      <c r="P30" s="34">
        <f>I30/I$43</f>
        <v>0.0020864301681260485</v>
      </c>
      <c r="S30" s="35">
        <f>G30-I30</f>
        <v>1885110.0</v>
      </c>
      <c r="U30" s="33">
        <f>N30-P30</f>
        <v>3.5745415890001E-4</v>
      </c>
    </row>
    <row r="31" spans="8:8">
      <c r="B31" s="14"/>
      <c r="E31" s="45" t="s">
        <v>27</v>
      </c>
      <c r="F31" s="36"/>
      <c r="G31" s="46">
        <v>6845320.0</v>
      </c>
      <c r="I31" s="46">
        <v>4960210.0</v>
      </c>
      <c r="K31" s="46">
        <v>2145980.0</v>
      </c>
      <c r="L31" s="16"/>
      <c r="N31" s="33">
        <f t="shared" si="8" ref="N31:N43">G31/G$43</f>
        <v>0.002443884327026062</v>
      </c>
      <c r="P31" s="33">
        <f t="shared" si="9" ref="P31:P43">I31/I$43</f>
        <v>0.0020864301681260485</v>
      </c>
      <c r="S31" s="47">
        <f t="shared" si="10" ref="S31:S43">G31-I31</f>
        <v>1885110.0</v>
      </c>
      <c r="U31" s="33">
        <f t="shared" si="11" ref="U31:U43">N31-P31</f>
        <v>3.5745415890001E-4</v>
      </c>
    </row>
    <row r="32" spans="8:8">
      <c r="B32" s="14"/>
      <c r="D32" s="38" t="s">
        <v>28</v>
      </c>
      <c r="E32" s="45"/>
      <c r="F32" s="36"/>
      <c r="G32" s="42"/>
      <c r="I32" s="42"/>
      <c r="K32" s="42"/>
      <c r="L32" s="16"/>
      <c r="N32" s="34"/>
      <c r="P32" s="34"/>
      <c r="S32" s="35"/>
      <c r="U32" s="33"/>
    </row>
    <row r="33" spans="8:8">
      <c r="B33" s="14"/>
      <c r="E33" s="42" t="s">
        <v>63</v>
      </c>
      <c r="F33" s="36">
        <v>17.0</v>
      </c>
      <c r="G33" s="44">
        <v>0.0</v>
      </c>
      <c r="I33" s="43">
        <v>0.0</v>
      </c>
      <c r="K33" s="43">
        <v>0.0</v>
      </c>
      <c r="L33" s="16"/>
      <c r="N33" s="34"/>
      <c r="P33" s="34"/>
      <c r="S33" s="35"/>
      <c r="U33" s="33"/>
    </row>
    <row r="34" spans="8:8">
      <c r="B34" s="14"/>
      <c r="E34" s="45" t="s">
        <v>30</v>
      </c>
      <c r="F34" s="36"/>
      <c r="G34" s="48">
        <v>0.0</v>
      </c>
      <c r="I34" s="48">
        <v>0.0</v>
      </c>
      <c r="K34" s="48">
        <v>0.0</v>
      </c>
      <c r="L34" s="16"/>
      <c r="N34" s="34"/>
      <c r="P34" s="34"/>
      <c r="S34" s="35"/>
      <c r="U34" s="33"/>
    </row>
    <row r="35" spans="8:8" ht="14.25">
      <c r="B35" s="14"/>
      <c r="E35" s="45" t="s">
        <v>31</v>
      </c>
      <c r="F35" s="36"/>
      <c r="G35" s="49">
        <v>6845320.0</v>
      </c>
      <c r="I35" s="49">
        <v>4960210.0</v>
      </c>
      <c r="K35" s="49">
        <v>2145980.0</v>
      </c>
      <c r="L35" s="16"/>
      <c r="N35" s="33">
        <f t="shared" si="8"/>
        <v>0.002443884327026062</v>
      </c>
      <c r="P35" s="33">
        <f t="shared" si="9"/>
        <v>0.0020864301681260485</v>
      </c>
      <c r="S35" s="47">
        <f t="shared" si="10"/>
        <v>1885110.0</v>
      </c>
      <c r="U35" s="33">
        <f t="shared" si="11"/>
        <v>3.5745415890001E-4</v>
      </c>
    </row>
    <row r="36" spans="8:8" ht="14.25">
      <c r="B36" s="14"/>
      <c r="E36" s="45"/>
      <c r="F36" s="36"/>
      <c r="G36" s="46"/>
      <c r="I36" s="46"/>
      <c r="K36" s="46"/>
      <c r="L36" s="16"/>
      <c r="N36" s="34"/>
      <c r="P36" s="34"/>
      <c r="S36" s="35"/>
      <c r="U36" s="33"/>
    </row>
    <row r="37" spans="8:8">
      <c r="B37" s="14"/>
      <c r="C37" s="38" t="s">
        <v>32</v>
      </c>
      <c r="E37" s="45"/>
      <c r="F37" s="36"/>
      <c r="G37" s="39"/>
      <c r="H37" s="40"/>
      <c r="I37" s="39"/>
      <c r="J37" s="40"/>
      <c r="K37" s="39"/>
      <c r="L37" s="16"/>
      <c r="N37" s="34"/>
      <c r="P37" s="34"/>
      <c r="S37" s="35"/>
      <c r="U37" s="33"/>
    </row>
    <row r="38" spans="8:8">
      <c r="B38" s="14"/>
      <c r="E38" s="42" t="s">
        <v>29</v>
      </c>
      <c r="F38" s="36">
        <v>17.0</v>
      </c>
      <c r="G38" s="43">
        <v>2.6392397914E9</v>
      </c>
      <c r="I38" s="43">
        <v>2.2695406559E9</v>
      </c>
      <c r="K38" s="43">
        <v>1.1392115809E9</v>
      </c>
      <c r="L38" s="16"/>
      <c r="N38" s="34">
        <f t="shared" si="8"/>
        <v>0.9422491222420565</v>
      </c>
      <c r="P38" s="34">
        <f t="shared" si="9"/>
        <v>0.9546446808216466</v>
      </c>
      <c r="S38" s="35">
        <f t="shared" si="10"/>
        <v>3.696991355E8</v>
      </c>
      <c r="U38" s="33">
        <f t="shared" si="11"/>
        <v>-0.01239555857958996</v>
      </c>
    </row>
    <row r="39" spans="8:8">
      <c r="B39" s="14"/>
      <c r="E39" s="42" t="s">
        <v>33</v>
      </c>
      <c r="F39" s="36">
        <v>18.0</v>
      </c>
      <c r="G39" s="43">
        <v>3.3476531E7</v>
      </c>
      <c r="I39" s="43">
        <v>3.00066067E7</v>
      </c>
      <c r="K39" s="43">
        <v>2.88240997E7</v>
      </c>
      <c r="L39" s="16"/>
      <c r="N39" s="34">
        <f t="shared" si="8"/>
        <v>0.011951635487325954</v>
      </c>
      <c r="P39" s="34">
        <f t="shared" si="9"/>
        <v>0.01262178203381978</v>
      </c>
      <c r="S39" s="35">
        <f t="shared" si="10"/>
        <v>3469924.3000000007</v>
      </c>
      <c r="U39" s="33">
        <f t="shared" si="11"/>
        <v>-6.701465464937998E-4</v>
      </c>
    </row>
    <row r="40" spans="8:8">
      <c r="B40" s="14"/>
      <c r="E40" s="42" t="s">
        <v>34</v>
      </c>
      <c r="F40" s="36">
        <v>19.0</v>
      </c>
      <c r="G40" s="51">
        <v>6.98000614E7</v>
      </c>
      <c r="H40" s="52"/>
      <c r="I40" s="51">
        <v>3.85707427E7</v>
      </c>
      <c r="J40" s="52"/>
      <c r="K40" s="51">
        <v>2.79281797E7</v>
      </c>
      <c r="L40" s="16"/>
      <c r="N40" s="34">
        <f t="shared" si="8"/>
        <v>0.024919693466619066</v>
      </c>
      <c r="P40" s="34">
        <f t="shared" si="9"/>
        <v>0.016224143972998636</v>
      </c>
      <c r="S40" s="35">
        <f t="shared" si="10"/>
        <v>3.1229318700000003E7</v>
      </c>
      <c r="U40" s="33">
        <f t="shared" si="11"/>
        <v>0.008695549493620499</v>
      </c>
    </row>
    <row r="41" spans="8:8">
      <c r="B41" s="14"/>
      <c r="E41" s="42" t="s">
        <v>35</v>
      </c>
      <c r="F41" s="36">
        <v>20.0</v>
      </c>
      <c r="G41" s="44">
        <v>5.16382962E7</v>
      </c>
      <c r="I41" s="44">
        <v>3.42886747E7</v>
      </c>
      <c r="K41" s="44">
        <v>2.83761397E7</v>
      </c>
      <c r="L41" s="16"/>
      <c r="N41" s="34">
        <f t="shared" si="8"/>
        <v>0.01843566447697251</v>
      </c>
      <c r="P41" s="34">
        <f t="shared" si="9"/>
        <v>0.014422963003409209</v>
      </c>
      <c r="S41" s="35">
        <f t="shared" si="10"/>
        <v>1.73496215E7</v>
      </c>
      <c r="U41" s="33">
        <f t="shared" si="11"/>
        <v>0.0040127014735633</v>
      </c>
    </row>
    <row r="42" spans="8:8">
      <c r="B42" s="14"/>
      <c r="E42" s="45" t="s">
        <v>36</v>
      </c>
      <c r="F42" s="36"/>
      <c r="G42" s="48">
        <v>2.79415468E9</v>
      </c>
      <c r="I42" s="48">
        <v>2.3724066799999995E9</v>
      </c>
      <c r="K42" s="48">
        <v>1.2243400000000002E9</v>
      </c>
      <c r="L42" s="16"/>
      <c r="N42" s="33">
        <f t="shared" si="8"/>
        <v>0.997556115672974</v>
      </c>
      <c r="P42" s="33">
        <f t="shared" si="9"/>
        <v>0.997913569831874</v>
      </c>
      <c r="S42" s="47">
        <f t="shared" si="10"/>
        <v>4.21748E8</v>
      </c>
      <c r="U42" s="33">
        <f t="shared" si="11"/>
        <v>-3.5745415889998355E-4</v>
      </c>
    </row>
    <row r="43" spans="8:8" ht="14.25">
      <c r="B43" s="14"/>
      <c r="E43" s="45" t="s">
        <v>37</v>
      </c>
      <c r="F43" s="36"/>
      <c r="G43" s="49">
        <v>2.801E9</v>
      </c>
      <c r="I43" s="49">
        <v>2.3773668899999995E9</v>
      </c>
      <c r="K43" s="49">
        <v>1.2264859800000002E9</v>
      </c>
      <c r="L43" s="16"/>
      <c r="N43" s="34">
        <f t="shared" si="8"/>
        <v>1.0</v>
      </c>
      <c r="P43" s="34">
        <f t="shared" si="9"/>
        <v>1.0</v>
      </c>
      <c r="S43" s="35">
        <f t="shared" si="10"/>
        <v>4.2363311E8</v>
      </c>
      <c r="U43" s="33">
        <f t="shared" si="11"/>
        <v>0.0</v>
      </c>
    </row>
    <row r="44" spans="8:8" ht="14.25">
      <c r="B44" s="19"/>
      <c r="C44" s="20"/>
      <c r="D44" s="20"/>
      <c r="E44" s="53"/>
      <c r="F44" s="54"/>
      <c r="G44" s="55"/>
      <c r="H44" s="56"/>
      <c r="I44" s="55"/>
      <c r="J44" s="56"/>
      <c r="K44" s="55"/>
      <c r="L44" s="22"/>
      <c r="N44" s="34"/>
      <c r="P44" s="34"/>
      <c r="S44" s="35"/>
      <c r="U44" s="33"/>
    </row>
    <row r="45" spans="8:8">
      <c r="B45" s="10"/>
      <c r="C45" s="11"/>
      <c r="D45" s="11"/>
      <c r="E45" s="57" t="s">
        <v>38</v>
      </c>
      <c r="F45" s="57"/>
      <c r="G45" s="57"/>
      <c r="H45" s="57"/>
      <c r="I45" s="57"/>
      <c r="J45" s="57"/>
      <c r="K45" s="57"/>
      <c r="L45" s="13"/>
      <c r="N45" s="34"/>
      <c r="P45" s="34"/>
      <c r="S45" s="35"/>
      <c r="U45" s="33"/>
    </row>
    <row r="46" spans="8:8">
      <c r="B46" s="14"/>
      <c r="L46" s="16"/>
      <c r="N46" s="34"/>
      <c r="P46" s="34"/>
      <c r="S46" s="35"/>
      <c r="U46" s="33"/>
    </row>
    <row r="47" spans="8:8">
      <c r="B47" s="14"/>
      <c r="L47" s="16"/>
      <c r="N47" s="34"/>
      <c r="P47" s="34"/>
      <c r="S47" s="35"/>
      <c r="U47" s="33"/>
    </row>
    <row r="48" spans="8:8" ht="14.05">
      <c r="B48" s="14"/>
      <c r="C48" s="58" t="s">
        <v>135</v>
      </c>
      <c r="D48" s="58"/>
      <c r="E48" s="58"/>
      <c r="F48" s="58"/>
      <c r="G48" s="58"/>
      <c r="H48" s="58"/>
      <c r="I48" s="58"/>
      <c r="J48" s="58"/>
      <c r="K48" s="58"/>
      <c r="L48" s="59"/>
      <c r="N48" s="34"/>
      <c r="P48" s="34"/>
      <c r="S48" s="35"/>
      <c r="U48" s="33"/>
    </row>
    <row r="49" spans="8:8">
      <c r="B49" s="14"/>
      <c r="C49" s="60" t="s">
        <v>62</v>
      </c>
      <c r="D49" s="60"/>
      <c r="E49" s="60"/>
      <c r="F49" s="60"/>
      <c r="G49" s="60"/>
      <c r="H49" s="60"/>
      <c r="I49" s="60"/>
      <c r="J49" s="60"/>
      <c r="K49" s="60"/>
      <c r="L49" s="61"/>
      <c r="N49" s="34"/>
      <c r="P49" s="34"/>
      <c r="S49" s="35"/>
      <c r="U49" s="33"/>
    </row>
    <row r="50" spans="8:8">
      <c r="B50" s="19"/>
      <c r="C50" s="62"/>
      <c r="D50" s="62"/>
      <c r="E50" s="62"/>
      <c r="F50" s="62"/>
      <c r="G50" s="62"/>
      <c r="H50" s="62"/>
      <c r="I50" s="62"/>
      <c r="J50" s="62"/>
      <c r="K50" s="62"/>
      <c r="L50" s="63"/>
      <c r="N50" s="34"/>
      <c r="P50" s="34"/>
      <c r="S50" s="35"/>
      <c r="U50" s="33"/>
    </row>
    <row r="51" spans="8:8">
      <c r="N51" s="34"/>
      <c r="P51" s="34"/>
      <c r="S51" s="35"/>
      <c r="U51" s="33"/>
    </row>
    <row r="52" spans="8:8">
      <c r="N52" s="34"/>
      <c r="P52" s="34"/>
      <c r="S52" s="35"/>
      <c r="U52" s="33"/>
    </row>
    <row r="53" spans="8:8">
      <c r="N53" s="34"/>
      <c r="P53" s="34"/>
      <c r="S53" s="35"/>
      <c r="U53" s="33"/>
    </row>
    <row r="54" spans="8:8">
      <c r="N54" s="34"/>
      <c r="P54" s="34"/>
      <c r="S54" s="35"/>
      <c r="U54" s="33"/>
    </row>
    <row r="55" spans="8:8">
      <c r="N55" s="34"/>
      <c r="P55" s="34"/>
      <c r="S55" s="35"/>
      <c r="U55" s="33"/>
    </row>
    <row r="56" spans="8:8">
      <c r="N56" s="34"/>
      <c r="P56" s="34"/>
      <c r="S56" s="35"/>
      <c r="U56" s="33"/>
    </row>
    <row r="57" spans="8:8">
      <c r="N57" s="34"/>
      <c r="P57" s="34"/>
      <c r="S57" s="35"/>
      <c r="U57" s="33"/>
    </row>
    <row r="58" spans="8:8">
      <c r="N58" s="34"/>
      <c r="P58" s="34"/>
      <c r="S58" s="35"/>
      <c r="U58" s="33"/>
    </row>
    <row r="59" spans="8:8">
      <c r="N59" s="34"/>
      <c r="P59" s="34"/>
      <c r="S59" s="35"/>
      <c r="U59" s="33"/>
    </row>
    <row r="60" spans="8:8">
      <c r="N60" s="34"/>
      <c r="P60" s="34"/>
      <c r="S60" s="35"/>
      <c r="U60" s="33"/>
    </row>
    <row r="61" spans="8:8">
      <c r="N61" s="34"/>
      <c r="P61" s="34"/>
      <c r="S61" s="35"/>
      <c r="U61" s="33"/>
    </row>
    <row r="62" spans="8:8">
      <c r="N62" s="34"/>
      <c r="P62" s="34"/>
      <c r="S62" s="35"/>
      <c r="U62" s="33"/>
    </row>
    <row r="63" spans="8:8">
      <c r="N63" s="34"/>
      <c r="P63" s="34"/>
      <c r="S63" s="35"/>
      <c r="U63" s="33"/>
    </row>
    <row r="64" spans="8:8">
      <c r="N64" s="34"/>
      <c r="P64" s="34"/>
      <c r="S64" s="35"/>
      <c r="U64" s="33"/>
    </row>
    <row r="65" spans="8:8">
      <c r="N65" s="34"/>
      <c r="P65" s="34"/>
      <c r="S65" s="35"/>
      <c r="U65" s="33"/>
    </row>
  </sheetData>
  <mergeCells count="13">
    <mergeCell ref="C49:L49"/>
    <mergeCell ref="C50:L50"/>
    <mergeCell ref="E45:K45"/>
    <mergeCell ref="C48:L48"/>
    <mergeCell ref="E3:K3"/>
    <mergeCell ref="P7:Q7"/>
    <mergeCell ref="N7:O7"/>
    <mergeCell ref="N6:Q6"/>
    <mergeCell ref="E7:K7"/>
    <mergeCell ref="E5:K5"/>
    <mergeCell ref="S6:U6"/>
    <mergeCell ref="E4:K4"/>
    <mergeCell ref="E8:K8"/>
  </mergeCells>
  <pageMargins left="0.7" right="0.7" top="0.75" bottom="0.75" header="0.3" footer="0.3"/>
  <drawing r:id="rId1"/>
</worksheet>
</file>

<file path=xl/worksheets/sheet3.xml><?xml version="1.0" encoding="utf-8"?>
<worksheet xmlns:r="http://schemas.openxmlformats.org/officeDocument/2006/relationships" xmlns="http://schemas.openxmlformats.org/spreadsheetml/2006/main">
  <dimension ref="B1:V65"/>
  <sheetViews>
    <sheetView workbookViewId="0" zoomScale="57">
      <selection activeCell="C34" sqref="C34:L34"/>
    </sheetView>
  </sheetViews>
  <sheetFormatPr defaultRowHeight="13.5" defaultColWidth="11"/>
  <cols>
    <col min="1" max="1" customWidth="1" width="5.3789062" style="3"/>
    <col min="2" max="4" customWidth="1" width="2.6875" style="3"/>
    <col min="5" max="5" customWidth="1" bestFit="1" width="37.933594" style="3"/>
    <col min="6" max="6" customWidth="1" width="7.2617188" style="4"/>
    <col min="7" max="7" customWidth="1" width="16.679688" style="3"/>
    <col min="8" max="8" customWidth="1" width="3.359375" style="3"/>
    <col min="9" max="9" customWidth="1" width="16.679688" style="3"/>
    <col min="10" max="10" customWidth="1" width="2.6875" style="3"/>
    <col min="11" max="11" customWidth="1" width="16.679688" style="3"/>
    <col min="12" max="13" customWidth="1" width="3.4960938" style="3"/>
    <col min="14" max="14" customWidth="1" width="10.625" style="5"/>
    <col min="15" max="15" customWidth="1" width="1.8828125" style="6"/>
    <col min="16" max="16" customWidth="1" width="10.625" style="7"/>
    <col min="17" max="17" customWidth="1" width="1.6132812" style="8"/>
    <col min="18" max="18" customWidth="1" width="2.4179688" style="6"/>
    <col min="19" max="19" customWidth="1" bestFit="1" width="14.9296875" style="9"/>
    <col min="20" max="20" customWidth="1" width="2.6875" style="8"/>
    <col min="21" max="21" customWidth="1" width="12.5078125" style="7"/>
    <col min="22" max="22" customWidth="1" width="15.6015625" style="3"/>
    <col min="23" max="24" customWidth="1" width="3.4960938" style="3"/>
    <col min="25" max="16384" customWidth="0" width="11.433594" style="3"/>
  </cols>
  <sheetData>
    <row r="2" spans="8:8">
      <c r="B2" s="10"/>
      <c r="C2" s="11"/>
      <c r="D2" s="11"/>
      <c r="E2" s="11"/>
      <c r="F2" s="12"/>
      <c r="G2" s="11"/>
      <c r="H2" s="11"/>
      <c r="I2" s="11"/>
      <c r="J2" s="11"/>
      <c r="K2" s="11"/>
      <c r="L2" s="13"/>
      <c r="N2" s="3"/>
      <c r="O2" s="3"/>
      <c r="P2" s="3"/>
      <c r="Q2" s="3"/>
      <c r="R2" s="3"/>
      <c r="S2" s="3"/>
      <c r="T2" s="3"/>
      <c r="U2" s="3"/>
    </row>
    <row r="3" spans="8:8">
      <c r="B3" s="14"/>
      <c r="E3" s="15" t="s">
        <v>55</v>
      </c>
      <c r="F3" s="15"/>
      <c r="G3" s="15"/>
      <c r="H3" s="15"/>
      <c r="I3" s="15"/>
      <c r="J3" s="15"/>
      <c r="K3" s="15"/>
      <c r="L3" s="16"/>
      <c r="N3" s="3"/>
      <c r="O3" s="3"/>
      <c r="P3" s="3"/>
      <c r="Q3" s="3"/>
      <c r="R3" s="3"/>
      <c r="S3" s="3"/>
      <c r="T3" s="3"/>
      <c r="U3" s="3"/>
    </row>
    <row r="4" spans="8:8">
      <c r="B4" s="14"/>
      <c r="E4" s="17" t="s">
        <v>56</v>
      </c>
      <c r="F4" s="17"/>
      <c r="G4" s="17"/>
      <c r="H4" s="17"/>
      <c r="I4" s="17"/>
      <c r="J4" s="17"/>
      <c r="K4" s="17"/>
      <c r="L4" s="16"/>
      <c r="N4" s="3"/>
      <c r="O4" s="3"/>
      <c r="P4" s="3"/>
      <c r="Q4" s="3"/>
      <c r="R4" s="3"/>
      <c r="S4" s="3"/>
      <c r="T4" s="3"/>
      <c r="U4" s="3"/>
    </row>
    <row r="5" spans="8:8">
      <c r="B5" s="14"/>
      <c r="E5" s="17" t="s">
        <v>57</v>
      </c>
      <c r="F5" s="17"/>
      <c r="G5" s="17"/>
      <c r="H5" s="17"/>
      <c r="I5" s="17"/>
      <c r="J5" s="17"/>
      <c r="K5" s="17"/>
      <c r="L5" s="16"/>
      <c r="N5" s="3"/>
      <c r="O5" s="3"/>
      <c r="P5" s="3"/>
      <c r="Q5" s="3"/>
      <c r="R5" s="3"/>
      <c r="S5" s="3"/>
      <c r="T5" s="3"/>
      <c r="U5" s="3"/>
    </row>
    <row r="6" spans="8:8">
      <c r="B6" s="19"/>
      <c r="C6" s="20"/>
      <c r="D6" s="20"/>
      <c r="E6" s="20"/>
      <c r="F6" s="21"/>
      <c r="G6" s="20"/>
      <c r="H6" s="20"/>
      <c r="I6" s="20"/>
      <c r="J6" s="20"/>
      <c r="K6" s="20"/>
      <c r="L6" s="22"/>
      <c r="N6" s="23" t="s">
        <v>86</v>
      </c>
      <c r="O6" s="23"/>
      <c r="P6" s="23"/>
      <c r="Q6" s="23"/>
      <c r="S6" s="23" t="s">
        <v>87</v>
      </c>
      <c r="T6" s="23"/>
      <c r="U6" s="23"/>
    </row>
    <row r="7" spans="8:8" ht="22.5">
      <c r="B7" s="10"/>
      <c r="C7" s="11"/>
      <c r="D7" s="11"/>
      <c r="E7" s="24" t="s">
        <v>39</v>
      </c>
      <c r="F7" s="24"/>
      <c r="G7" s="24"/>
      <c r="H7" s="24"/>
      <c r="I7" s="24"/>
      <c r="J7" s="24"/>
      <c r="K7" s="24"/>
      <c r="L7" s="13"/>
      <c r="N7" s="25" t="s">
        <v>88</v>
      </c>
      <c r="O7" s="25"/>
      <c r="P7" s="25" t="s">
        <v>89</v>
      </c>
      <c r="Q7" s="25"/>
      <c r="S7" s="26" t="s">
        <v>90</v>
      </c>
      <c r="T7" s="27"/>
      <c r="U7" s="28" t="s">
        <v>91</v>
      </c>
    </row>
    <row r="8" spans="8:8">
      <c r="B8" s="14"/>
      <c r="E8" s="29" t="s">
        <v>1</v>
      </c>
      <c r="F8" s="29"/>
      <c r="G8" s="29"/>
      <c r="H8" s="29"/>
      <c r="I8" s="29"/>
      <c r="J8" s="29"/>
      <c r="K8" s="29"/>
      <c r="L8" s="16"/>
      <c r="N8" s="30"/>
      <c r="P8" s="31"/>
      <c r="Q8" s="32"/>
      <c r="T8" s="32"/>
      <c r="U8" s="30"/>
    </row>
    <row r="9" spans="8:8">
      <c r="B9" s="14"/>
      <c r="L9" s="16"/>
      <c r="N9" s="33"/>
      <c r="P9" s="34"/>
      <c r="S9" s="35"/>
      <c r="U9" s="33"/>
    </row>
    <row r="10" spans="8:8" ht="27.0">
      <c r="B10" s="14"/>
      <c r="E10" s="36" t="s">
        <v>2</v>
      </c>
      <c r="F10" s="36" t="s">
        <v>3</v>
      </c>
      <c r="G10" s="37" t="s">
        <v>4</v>
      </c>
      <c r="I10" s="37" t="s">
        <v>5</v>
      </c>
      <c r="K10" s="37" t="s">
        <v>6</v>
      </c>
      <c r="L10" s="16"/>
      <c r="N10" s="34"/>
      <c r="P10" s="34"/>
      <c r="S10" s="35"/>
      <c r="U10" s="33"/>
    </row>
    <row r="11" spans="8:8">
      <c r="B11" s="14"/>
      <c r="C11" s="38"/>
      <c r="F11" s="36"/>
      <c r="G11" s="39" t="s">
        <v>8</v>
      </c>
      <c r="H11" s="40"/>
      <c r="I11" s="39" t="s">
        <v>8</v>
      </c>
      <c r="J11" s="40"/>
      <c r="K11" s="39" t="s">
        <v>8</v>
      </c>
      <c r="L11" s="16"/>
      <c r="N11" s="34"/>
      <c r="P11" s="34"/>
      <c r="S11" s="35"/>
      <c r="U11" s="33"/>
    </row>
    <row r="12" spans="8:8">
      <c r="B12" s="14"/>
      <c r="D12" s="38"/>
      <c r="E12" s="45" t="s">
        <v>40</v>
      </c>
      <c r="F12" s="36">
        <v>21.0</v>
      </c>
      <c r="G12" s="43">
        <v>1.8543075E8</v>
      </c>
      <c r="I12" s="43">
        <v>1.0256032E8</v>
      </c>
      <c r="K12" s="43">
        <v>6.984521E7</v>
      </c>
      <c r="L12" s="16"/>
      <c r="N12" s="34">
        <v>1.0</v>
      </c>
      <c r="P12" s="34">
        <v>1.0</v>
      </c>
      <c r="S12" s="35">
        <f>G12-I12</f>
        <v>8.287043E7</v>
      </c>
      <c r="U12" s="33">
        <f>N12-P12</f>
        <v>0.0</v>
      </c>
    </row>
    <row r="13" spans="8:8">
      <c r="B13" s="14"/>
      <c r="E13" s="42" t="s">
        <v>41</v>
      </c>
      <c r="F13" s="36">
        <v>22.0</v>
      </c>
      <c r="G13" s="44">
        <v>-6.8609377E7</v>
      </c>
      <c r="I13" s="44">
        <v>-3.7947318E7</v>
      </c>
      <c r="K13" s="44">
        <v>-2.5842727E7</v>
      </c>
      <c r="L13" s="16"/>
      <c r="N13" s="34">
        <f>G13/G$12</f>
        <v>-0.3699999973035756</v>
      </c>
      <c r="P13" s="34">
        <f>I13/I$12</f>
        <v>-0.3699999960998562</v>
      </c>
      <c r="S13" s="35">
        <f t="shared" si="0" ref="S13:S29">G13-I13</f>
        <v>-3.0662059E7</v>
      </c>
      <c r="U13" s="33">
        <f t="shared" si="1" ref="U13:U29">N13-P13</f>
        <v>-1.2037200125547542E-9</v>
      </c>
    </row>
    <row r="14" spans="8:8">
      <c r="B14" s="14"/>
      <c r="E14" s="45" t="s">
        <v>42</v>
      </c>
      <c r="F14" s="36"/>
      <c r="G14" s="46">
        <v>1.16821373E8</v>
      </c>
      <c r="I14" s="46">
        <v>6.4613002E7</v>
      </c>
      <c r="K14" s="46">
        <v>4.4002483E7</v>
      </c>
      <c r="L14" s="16"/>
      <c r="N14" s="33">
        <f>G14/G$12</f>
        <v>0.6300000026964244</v>
      </c>
      <c r="O14" s="64"/>
      <c r="P14" s="33">
        <f>I14/I$12</f>
        <v>0.6300000039001439</v>
      </c>
      <c r="S14" s="47">
        <f t="shared" si="0"/>
        <v>5.2208371E7</v>
      </c>
      <c r="U14" s="33">
        <f t="shared" si="1"/>
        <v>-1.2037200125547542E-9</v>
      </c>
    </row>
    <row r="15" spans="8:8">
      <c r="B15" s="14"/>
      <c r="E15" s="45" t="s">
        <v>43</v>
      </c>
      <c r="F15" s="36"/>
      <c r="L15" s="16"/>
      <c r="N15" s="34"/>
      <c r="P15" s="34"/>
      <c r="S15" s="35"/>
      <c r="U15" s="33"/>
    </row>
    <row r="16" spans="8:8">
      <c r="B16" s="14"/>
      <c r="E16" s="42" t="s">
        <v>44</v>
      </c>
      <c r="F16" s="36">
        <v>23.0</v>
      </c>
      <c r="G16" s="43">
        <v>-3.896578E7</v>
      </c>
      <c r="I16" s="43">
        <v>-2.1551672E7</v>
      </c>
      <c r="K16" s="43">
        <v>-1.4677032E7</v>
      </c>
      <c r="L16" s="16"/>
      <c r="N16" s="34">
        <f t="shared" si="2" ref="N14:N19">G16/G$12</f>
        <v>-0.21013656041406292</v>
      </c>
      <c r="P16" s="34">
        <f t="shared" si="3" ref="P14:P19">I16/I$12</f>
        <v>-0.21013655183603172</v>
      </c>
      <c r="S16" s="35">
        <f t="shared" si="0"/>
        <v>-1.7414108E7</v>
      </c>
      <c r="U16" s="33">
        <f t="shared" si="1"/>
        <v>-8.578031007733244E-9</v>
      </c>
    </row>
    <row r="17" spans="8:8">
      <c r="B17" s="14"/>
      <c r="E17" s="42" t="s">
        <v>45</v>
      </c>
      <c r="F17" s="36">
        <v>24.0</v>
      </c>
      <c r="G17" s="43">
        <v>-2.18453E7</v>
      </c>
      <c r="I17" s="43">
        <v>-1.94305E7</v>
      </c>
      <c r="K17" s="43">
        <v>-1.58602E7</v>
      </c>
      <c r="L17" s="16"/>
      <c r="N17" s="34">
        <f t="shared" si="2"/>
        <v>-0.1178084001709533</v>
      </c>
      <c r="P17" s="34">
        <f t="shared" si="3"/>
        <v>-0.18945436207687338</v>
      </c>
      <c r="S17" s="35">
        <f t="shared" si="0"/>
        <v>-2414800.0</v>
      </c>
      <c r="U17" s="33">
        <f t="shared" si="1"/>
        <v>0.07164596190592</v>
      </c>
    </row>
    <row r="18" spans="8:8">
      <c r="B18" s="14"/>
      <c r="D18" s="38"/>
      <c r="E18" s="42" t="s">
        <v>46</v>
      </c>
      <c r="F18" s="36">
        <v>25.0</v>
      </c>
      <c r="G18" s="44">
        <v>-1.874025E7</v>
      </c>
      <c r="I18" s="44">
        <v>-9865430.0</v>
      </c>
      <c r="K18" s="44">
        <v>-3985600.0</v>
      </c>
      <c r="L18" s="16"/>
      <c r="N18" s="34">
        <f t="shared" si="2"/>
        <v>-0.1010633349646701</v>
      </c>
      <c r="P18" s="34">
        <f t="shared" si="3"/>
        <v>-0.09619149004215276</v>
      </c>
      <c r="S18" s="35">
        <f t="shared" si="0"/>
        <v>-8874820.0</v>
      </c>
      <c r="U18" s="33">
        <f t="shared" si="1"/>
        <v>-0.004871844922517202</v>
      </c>
    </row>
    <row r="19" spans="8:8">
      <c r="B19" s="14"/>
      <c r="E19" s="45" t="s">
        <v>47</v>
      </c>
      <c r="F19" s="36"/>
      <c r="G19" s="46">
        <v>3.7270043E7</v>
      </c>
      <c r="I19" s="46">
        <v>1.37654E7</v>
      </c>
      <c r="K19" s="46">
        <v>9479651.0</v>
      </c>
      <c r="L19" s="16"/>
      <c r="N19" s="33">
        <f t="shared" si="2"/>
        <v>0.20099170714673806</v>
      </c>
      <c r="O19" s="64"/>
      <c r="P19" s="33">
        <f t="shared" si="3"/>
        <v>0.13421759994508597</v>
      </c>
      <c r="S19" s="47">
        <f t="shared" si="0"/>
        <v>2.3504643E7</v>
      </c>
      <c r="U19" s="33">
        <f t="shared" si="1"/>
        <v>0.066774107201652</v>
      </c>
    </row>
    <row r="20" spans="8:8">
      <c r="B20" s="14"/>
      <c r="E20" s="45"/>
      <c r="F20" s="36"/>
      <c r="G20" s="46"/>
      <c r="I20" s="46"/>
      <c r="K20" s="46"/>
      <c r="L20" s="16"/>
      <c r="N20" s="34"/>
      <c r="P20" s="34"/>
      <c r="S20" s="35"/>
      <c r="U20" s="33"/>
    </row>
    <row r="21" spans="8:8">
      <c r="B21" s="14"/>
      <c r="E21" s="42" t="s">
        <v>48</v>
      </c>
      <c r="F21" s="36">
        <v>26.0</v>
      </c>
      <c r="G21" s="43">
        <v>5420300.0</v>
      </c>
      <c r="I21" s="43">
        <v>3865200.0</v>
      </c>
      <c r="K21" s="43">
        <v>2145980.0</v>
      </c>
      <c r="L21" s="16"/>
      <c r="N21" s="34">
        <f>G21/G$12</f>
        <v>0.029230858420191904</v>
      </c>
      <c r="P21" s="34">
        <f>I21/I$12</f>
        <v>0.03768708989987551</v>
      </c>
      <c r="S21" s="35">
        <f t="shared" si="0"/>
        <v>1555100.0</v>
      </c>
      <c r="U21" s="33">
        <f t="shared" si="1"/>
        <v>-0.0084562314796836</v>
      </c>
    </row>
    <row r="22" spans="8:8">
      <c r="B22" s="14"/>
      <c r="E22" s="42" t="s">
        <v>49</v>
      </c>
      <c r="F22" s="36">
        <v>27.0</v>
      </c>
      <c r="G22" s="44">
        <v>-1145780.0</v>
      </c>
      <c r="I22" s="44">
        <v>-845320.0</v>
      </c>
      <c r="K22" s="44">
        <v>-520450.0</v>
      </c>
      <c r="L22" s="16"/>
      <c r="N22" s="34">
        <f t="shared" si="4" ref="N22:N29">G22/G$12</f>
        <v>-0.006179018312766356</v>
      </c>
      <c r="P22" s="34">
        <f t="shared" si="5" ref="P22:P29">I22/I$12</f>
        <v>-0.008242173971376065</v>
      </c>
      <c r="S22" s="35">
        <f t="shared" si="0"/>
        <v>-300460.0</v>
      </c>
      <c r="U22" s="33">
        <f t="shared" si="1"/>
        <v>0.00206315565860971</v>
      </c>
    </row>
    <row r="23" spans="8:8">
      <c r="B23" s="14"/>
      <c r="E23" s="45" t="s">
        <v>50</v>
      </c>
      <c r="F23" s="36"/>
      <c r="G23" s="46">
        <v>4.1544563E7</v>
      </c>
      <c r="I23" s="46">
        <v>1.678528E7</v>
      </c>
      <c r="K23" s="46">
        <v>1.1105181E7</v>
      </c>
      <c r="L23" s="16"/>
      <c r="N23" s="33">
        <f t="shared" si="4"/>
        <v>0.22404354725416362</v>
      </c>
      <c r="P23" s="33">
        <f t="shared" si="5"/>
        <v>0.1636625158735854</v>
      </c>
      <c r="S23" s="47">
        <f t="shared" si="0"/>
        <v>2.4759283E7</v>
      </c>
      <c r="U23" s="33">
        <f t="shared" si="1"/>
        <v>0.060381031380579014</v>
      </c>
    </row>
    <row r="24" spans="8:8">
      <c r="B24" s="14"/>
      <c r="E24" s="45"/>
      <c r="F24" s="36"/>
      <c r="G24" s="46"/>
      <c r="I24" s="46"/>
      <c r="K24" s="46"/>
      <c r="L24" s="16"/>
      <c r="N24" s="34"/>
      <c r="P24" s="34"/>
      <c r="S24" s="35"/>
      <c r="U24" s="33"/>
    </row>
    <row r="25" spans="8:8">
      <c r="B25" s="14"/>
      <c r="E25" s="42" t="s">
        <v>51</v>
      </c>
      <c r="F25" s="36">
        <v>28.0</v>
      </c>
      <c r="G25" s="44">
        <v>-6845320.0</v>
      </c>
      <c r="I25" s="44">
        <v>-4960210.0</v>
      </c>
      <c r="K25" s="44">
        <v>-2145980.0</v>
      </c>
      <c r="L25" s="16"/>
      <c r="N25" s="34">
        <f t="shared" si="4"/>
        <v>-0.0369157758354534</v>
      </c>
      <c r="P25" s="34">
        <f t="shared" si="5"/>
        <v>-0.04836383115809311</v>
      </c>
      <c r="S25" s="35">
        <f t="shared" si="0"/>
        <v>-1885110.0</v>
      </c>
      <c r="U25" s="33">
        <f t="shared" si="1"/>
        <v>0.011448055322639698</v>
      </c>
    </row>
    <row r="26" spans="8:8">
      <c r="B26" s="14"/>
      <c r="E26" s="45" t="s">
        <v>52</v>
      </c>
      <c r="F26" s="36"/>
      <c r="G26" s="46">
        <v>3.4699243E7</v>
      </c>
      <c r="I26" s="46">
        <v>1.182507E7</v>
      </c>
      <c r="K26" s="46">
        <v>8959201.0</v>
      </c>
      <c r="L26" s="16"/>
      <c r="N26" s="33">
        <f t="shared" si="4"/>
        <v>0.18712777141871023</v>
      </c>
      <c r="P26" s="33">
        <f t="shared" si="5"/>
        <v>0.1152986847154923</v>
      </c>
      <c r="S26" s="47">
        <f t="shared" si="0"/>
        <v>2.2874173E7</v>
      </c>
      <c r="U26" s="33">
        <f t="shared" si="1"/>
        <v>0.07182908670321801</v>
      </c>
    </row>
    <row r="27" spans="8:8">
      <c r="B27" s="14"/>
      <c r="E27" s="45"/>
      <c r="F27" s="36"/>
      <c r="G27" s="46"/>
      <c r="I27" s="46"/>
      <c r="K27" s="46"/>
      <c r="L27" s="16"/>
      <c r="N27" s="34"/>
      <c r="P27" s="34"/>
      <c r="S27" s="35"/>
      <c r="U27" s="33"/>
    </row>
    <row r="28" spans="8:8">
      <c r="B28" s="14"/>
      <c r="E28" s="42" t="s">
        <v>53</v>
      </c>
      <c r="F28" s="36">
        <v>29.0</v>
      </c>
      <c r="G28" s="44">
        <v>-3469924.3000000003</v>
      </c>
      <c r="I28" s="44">
        <v>-1182507.0</v>
      </c>
      <c r="K28" s="44">
        <v>-895920.0</v>
      </c>
      <c r="L28" s="16"/>
      <c r="N28" s="34">
        <f t="shared" si="4"/>
        <v>-0.018712777141871022</v>
      </c>
      <c r="P28" s="34">
        <f t="shared" si="5"/>
        <v>-0.01152986847154923</v>
      </c>
      <c r="S28" s="35">
        <f t="shared" si="0"/>
        <v>-2287417.3</v>
      </c>
      <c r="U28" s="33">
        <f t="shared" si="1"/>
        <v>-0.0071829086703218015</v>
      </c>
    </row>
    <row r="29" spans="8:8" ht="14.25">
      <c r="B29" s="14"/>
      <c r="E29" s="45" t="s">
        <v>54</v>
      </c>
      <c r="F29" s="36"/>
      <c r="G29" s="49">
        <v>3.12293187E7</v>
      </c>
      <c r="I29" s="49">
        <v>1.0642563E7</v>
      </c>
      <c r="K29" s="49">
        <v>8063281.0</v>
      </c>
      <c r="L29" s="16"/>
      <c r="N29" s="33">
        <f t="shared" si="4"/>
        <v>0.1684149942768392</v>
      </c>
      <c r="P29" s="33">
        <f t="shared" si="5"/>
        <v>0.10376881624394307</v>
      </c>
      <c r="S29" s="47">
        <f t="shared" si="0"/>
        <v>2.05867557E7</v>
      </c>
      <c r="U29" s="33">
        <f t="shared" si="1"/>
        <v>0.064646178032896</v>
      </c>
    </row>
    <row r="30" spans="8:8" ht="14.25">
      <c r="B30" s="65"/>
      <c r="C30" s="52"/>
      <c r="D30" s="52"/>
      <c r="E30" s="66"/>
      <c r="F30" s="67"/>
      <c r="G30" s="68"/>
      <c r="H30" s="69"/>
      <c r="I30" s="68"/>
      <c r="J30" s="69"/>
      <c r="K30" s="68"/>
      <c r="L30" s="70"/>
      <c r="N30" s="34"/>
      <c r="P30" s="34"/>
      <c r="S30" s="35"/>
      <c r="U30" s="33"/>
    </row>
    <row r="31" spans="8:8">
      <c r="B31" s="10"/>
      <c r="C31" s="11"/>
      <c r="D31" s="11"/>
      <c r="E31" s="57" t="s">
        <v>38</v>
      </c>
      <c r="F31" s="57"/>
      <c r="G31" s="57"/>
      <c r="H31" s="57"/>
      <c r="I31" s="57"/>
      <c r="J31" s="57"/>
      <c r="K31" s="57"/>
      <c r="L31" s="13"/>
      <c r="N31" s="34"/>
      <c r="P31" s="34"/>
      <c r="S31" s="35"/>
      <c r="U31" s="33"/>
    </row>
    <row r="32" spans="8:8">
      <c r="B32" s="14"/>
      <c r="L32" s="16"/>
      <c r="N32" s="34"/>
      <c r="P32" s="34"/>
      <c r="S32" s="35"/>
      <c r="U32" s="33"/>
    </row>
    <row r="33" spans="8:8">
      <c r="B33" s="14"/>
      <c r="L33" s="16"/>
      <c r="N33" s="34"/>
      <c r="P33" s="34"/>
      <c r="S33" s="35"/>
      <c r="U33" s="33"/>
    </row>
    <row r="34" spans="8:8">
      <c r="B34" s="14"/>
      <c r="C34" s="58" t="s">
        <v>136</v>
      </c>
      <c r="D34" s="58"/>
      <c r="E34" s="58"/>
      <c r="F34" s="58"/>
      <c r="G34" s="58"/>
      <c r="H34" s="58"/>
      <c r="I34" s="58"/>
      <c r="J34" s="58"/>
      <c r="K34" s="58"/>
      <c r="L34" s="59"/>
      <c r="N34" s="34"/>
      <c r="P34" s="34"/>
      <c r="S34" s="35"/>
      <c r="U34" s="33"/>
    </row>
    <row r="35" spans="8:8">
      <c r="B35" s="14"/>
      <c r="C35" s="60" t="s">
        <v>62</v>
      </c>
      <c r="D35" s="60"/>
      <c r="E35" s="60"/>
      <c r="F35" s="60"/>
      <c r="G35" s="60"/>
      <c r="H35" s="60"/>
      <c r="I35" s="60"/>
      <c r="J35" s="60"/>
      <c r="K35" s="60"/>
      <c r="L35" s="61"/>
      <c r="N35" s="34"/>
      <c r="P35" s="34"/>
      <c r="S35" s="35"/>
      <c r="U35" s="33"/>
    </row>
    <row r="36" spans="8:8">
      <c r="B36" s="19"/>
      <c r="C36" s="62"/>
      <c r="D36" s="62"/>
      <c r="E36" s="62"/>
      <c r="F36" s="62"/>
      <c r="G36" s="62"/>
      <c r="H36" s="62"/>
      <c r="I36" s="62"/>
      <c r="J36" s="62"/>
      <c r="K36" s="62"/>
      <c r="L36" s="63"/>
      <c r="N36" s="34"/>
      <c r="P36" s="34"/>
      <c r="S36" s="35"/>
      <c r="U36" s="33"/>
    </row>
    <row r="37" spans="8:8">
      <c r="N37" s="34"/>
      <c r="P37" s="34"/>
      <c r="S37" s="35"/>
      <c r="U37" s="33"/>
    </row>
    <row r="38" spans="8:8">
      <c r="N38" s="34"/>
      <c r="P38" s="34"/>
      <c r="S38" s="35"/>
      <c r="U38" s="33"/>
    </row>
    <row r="39" spans="8:8">
      <c r="N39" s="34"/>
      <c r="P39" s="34"/>
      <c r="S39" s="35"/>
      <c r="U39" s="33"/>
    </row>
    <row r="40" spans="8:8">
      <c r="N40" s="34"/>
      <c r="P40" s="34"/>
      <c r="S40" s="35"/>
      <c r="U40" s="33"/>
    </row>
    <row r="41" spans="8:8">
      <c r="N41" s="34"/>
      <c r="P41" s="34"/>
      <c r="S41" s="35"/>
      <c r="U41" s="33"/>
    </row>
    <row r="42" spans="8:8">
      <c r="N42" s="34"/>
      <c r="P42" s="34"/>
      <c r="S42" s="35"/>
      <c r="U42" s="33"/>
    </row>
    <row r="43" spans="8:8">
      <c r="N43" s="34"/>
      <c r="P43" s="34"/>
      <c r="S43" s="35"/>
      <c r="U43" s="33"/>
    </row>
    <row r="44" spans="8:8">
      <c r="N44" s="34"/>
      <c r="P44" s="34"/>
      <c r="S44" s="35"/>
      <c r="U44" s="33"/>
    </row>
    <row r="45" spans="8:8">
      <c r="N45" s="34"/>
      <c r="P45" s="34"/>
      <c r="S45" s="35"/>
      <c r="U45" s="33"/>
    </row>
    <row r="46" spans="8:8">
      <c r="N46" s="34"/>
      <c r="P46" s="34"/>
      <c r="S46" s="35"/>
      <c r="U46" s="33"/>
    </row>
    <row r="47" spans="8:8">
      <c r="N47" s="34"/>
      <c r="P47" s="34"/>
      <c r="S47" s="35"/>
      <c r="U47" s="33"/>
    </row>
    <row r="48" spans="8:8">
      <c r="N48" s="34"/>
      <c r="P48" s="34"/>
      <c r="S48" s="35"/>
      <c r="U48" s="33"/>
    </row>
    <row r="49" spans="8:8">
      <c r="N49" s="34"/>
      <c r="P49" s="34"/>
      <c r="S49" s="35"/>
      <c r="U49" s="33"/>
    </row>
    <row r="50" spans="8:8">
      <c r="N50" s="34"/>
      <c r="P50" s="34"/>
      <c r="S50" s="35"/>
      <c r="U50" s="33"/>
    </row>
    <row r="51" spans="8:8">
      <c r="N51" s="34"/>
      <c r="P51" s="34"/>
      <c r="S51" s="35"/>
      <c r="U51" s="33"/>
    </row>
    <row r="52" spans="8:8">
      <c r="N52" s="34"/>
      <c r="P52" s="34"/>
      <c r="S52" s="35"/>
      <c r="U52" s="33"/>
    </row>
    <row r="53" spans="8:8">
      <c r="N53" s="34"/>
      <c r="P53" s="34"/>
      <c r="S53" s="35"/>
      <c r="U53" s="33"/>
    </row>
    <row r="54" spans="8:8">
      <c r="N54" s="34"/>
      <c r="P54" s="34"/>
      <c r="S54" s="35"/>
      <c r="U54" s="33"/>
    </row>
    <row r="55" spans="8:8">
      <c r="N55" s="34"/>
      <c r="P55" s="34"/>
      <c r="S55" s="35"/>
      <c r="U55" s="33"/>
    </row>
    <row r="56" spans="8:8">
      <c r="N56" s="34"/>
      <c r="P56" s="34"/>
      <c r="S56" s="35"/>
      <c r="U56" s="33"/>
    </row>
    <row r="57" spans="8:8">
      <c r="N57" s="34"/>
      <c r="P57" s="34"/>
      <c r="S57" s="35"/>
      <c r="U57" s="33"/>
    </row>
    <row r="58" spans="8:8">
      <c r="N58" s="34"/>
      <c r="P58" s="34"/>
      <c r="S58" s="35"/>
      <c r="U58" s="33"/>
    </row>
    <row r="59" spans="8:8">
      <c r="N59" s="34"/>
      <c r="P59" s="34"/>
      <c r="S59" s="35"/>
      <c r="U59" s="33"/>
    </row>
    <row r="60" spans="8:8">
      <c r="N60" s="34"/>
      <c r="P60" s="34"/>
      <c r="S60" s="35"/>
      <c r="U60" s="33"/>
    </row>
    <row r="61" spans="8:8">
      <c r="N61" s="34"/>
      <c r="P61" s="34"/>
      <c r="S61" s="35"/>
      <c r="U61" s="33"/>
    </row>
    <row r="62" spans="8:8">
      <c r="N62" s="34"/>
      <c r="P62" s="34"/>
      <c r="S62" s="35"/>
      <c r="U62" s="33"/>
    </row>
    <row r="63" spans="8:8">
      <c r="N63" s="34"/>
      <c r="P63" s="34"/>
      <c r="S63" s="35"/>
      <c r="U63" s="33"/>
    </row>
    <row r="64" spans="8:8">
      <c r="N64" s="34"/>
      <c r="P64" s="34"/>
      <c r="S64" s="35"/>
      <c r="U64" s="33"/>
    </row>
    <row r="65" spans="8:8">
      <c r="N65" s="34"/>
      <c r="P65" s="34"/>
      <c r="S65" s="35"/>
      <c r="U65" s="33"/>
    </row>
  </sheetData>
  <mergeCells count="13">
    <mergeCell ref="E3:K3"/>
    <mergeCell ref="E4:K4"/>
    <mergeCell ref="E5:K5"/>
    <mergeCell ref="E31:K31"/>
    <mergeCell ref="C34:L34"/>
    <mergeCell ref="C35:L35"/>
    <mergeCell ref="C36:L36"/>
    <mergeCell ref="S6:U6"/>
    <mergeCell ref="N7:O7"/>
    <mergeCell ref="P7:Q7"/>
    <mergeCell ref="E7:K7"/>
    <mergeCell ref="E8:K8"/>
    <mergeCell ref="N6:Q6"/>
  </mergeCells>
  <pageMargins left="0.7" right="0.7" top="0.75" bottom="0.75" header="0.3" footer="0.3"/>
  <drawing r:id="rId1"/>
</worksheet>
</file>

<file path=xl/worksheets/sheet4.xml><?xml version="1.0" encoding="utf-8"?>
<worksheet xmlns:r="http://schemas.openxmlformats.org/officeDocument/2006/relationships" xmlns="http://schemas.openxmlformats.org/spreadsheetml/2006/main">
  <dimension ref="A1:N975"/>
  <sheetViews>
    <sheetView tabSelected="1" workbookViewId="0" topLeftCell="C1" zoomScale="30">
      <selection activeCell="K25" sqref="K25"/>
    </sheetView>
  </sheetViews>
  <sheetFormatPr defaultRowHeight="12.75" defaultColWidth="12"/>
  <cols>
    <col min="1" max="1" customWidth="1" width="10.4921875" style="71"/>
    <col min="2" max="2" customWidth="1" width="4.4375" style="71"/>
    <col min="3" max="3" customWidth="1" width="6.0507812" style="71"/>
    <col min="4" max="4" customWidth="1" width="30.9375" style="71"/>
    <col min="5" max="5" customWidth="1" width="2.015625" style="71"/>
    <col min="6" max="6" customWidth="1" width="13.988281" style="71"/>
    <col min="7" max="7" customWidth="1" width="13.449219" style="71"/>
    <col min="8" max="8" customWidth="1" width="13.316406" style="71"/>
    <col min="9" max="9" customWidth="1" width="2.015625" style="71"/>
    <col min="10" max="10" customWidth="1" bestFit="1" width="19.101562" style="71"/>
    <col min="11" max="11" customWidth="1" width="15.6015625" style="72"/>
    <col min="12" max="12" customWidth="1" width="64.57031" style="71"/>
    <col min="13" max="13" customWidth="1" width="3.6289062" style="71"/>
    <col min="14" max="16384" customWidth="0" width="12.5078125" style="71"/>
  </cols>
  <sheetData>
    <row r="1" spans="8:8" ht="15.0" customHeight="1">
      <c r="A1" s="73"/>
      <c r="B1" s="73"/>
      <c r="C1" s="73"/>
      <c r="D1" s="73"/>
      <c r="E1" s="73"/>
      <c r="F1" s="74"/>
      <c r="G1" s="74"/>
      <c r="H1" s="73"/>
      <c r="I1" s="75"/>
      <c r="J1" s="75"/>
      <c r="K1" s="76"/>
      <c r="L1" s="75"/>
      <c r="M1" s="75"/>
    </row>
    <row r="2" spans="8:8" s="77" ht="15.0" customFormat="1">
      <c r="B2" s="78"/>
      <c r="C2" s="79"/>
      <c r="D2" s="79"/>
      <c r="E2" s="80"/>
      <c r="F2" s="81"/>
      <c r="G2" s="82"/>
      <c r="H2" s="80"/>
      <c r="I2" s="80"/>
      <c r="J2" s="81"/>
      <c r="K2" s="83"/>
      <c r="L2" s="84"/>
      <c r="M2" s="85"/>
    </row>
    <row r="3" spans="8:8" s="77" ht="15.0" customFormat="1">
      <c r="B3" s="86"/>
      <c r="C3" s="15" t="s">
        <v>55</v>
      </c>
      <c r="D3" s="15"/>
      <c r="E3" s="15"/>
      <c r="F3" s="15"/>
      <c r="G3" s="15"/>
      <c r="H3" s="15"/>
      <c r="I3" s="15"/>
      <c r="J3" s="15"/>
      <c r="K3" s="15"/>
      <c r="L3" s="15"/>
      <c r="M3" s="87"/>
    </row>
    <row r="4" spans="8:8" s="77" ht="15.0" customFormat="1">
      <c r="B4" s="86"/>
      <c r="C4" s="17" t="s">
        <v>56</v>
      </c>
      <c r="D4" s="17"/>
      <c r="E4" s="17"/>
      <c r="F4" s="17"/>
      <c r="G4" s="17"/>
      <c r="H4" s="17"/>
      <c r="I4" s="17"/>
      <c r="J4" s="17"/>
      <c r="K4" s="17"/>
      <c r="L4" s="17"/>
      <c r="M4" s="87"/>
    </row>
    <row r="5" spans="8:8" s="77" ht="15.0" customFormat="1">
      <c r="B5" s="86"/>
      <c r="C5" s="17" t="s">
        <v>82</v>
      </c>
      <c r="D5" s="17"/>
      <c r="E5" s="17"/>
      <c r="F5" s="17"/>
      <c r="G5" s="17"/>
      <c r="H5" s="17"/>
      <c r="I5" s="17"/>
      <c r="J5" s="17"/>
      <c r="K5" s="17"/>
      <c r="L5" s="17"/>
      <c r="M5" s="87"/>
    </row>
    <row r="6" spans="8:8" s="77" ht="15.0" customFormat="1">
      <c r="B6" s="86"/>
      <c r="D6" s="88"/>
      <c r="E6" s="88"/>
      <c r="F6" s="3"/>
      <c r="G6" s="4"/>
      <c r="H6" s="3"/>
      <c r="I6" s="3"/>
      <c r="J6" s="3"/>
      <c r="K6" s="3"/>
      <c r="L6" s="3"/>
      <c r="M6" s="87"/>
    </row>
    <row r="7" spans="8:8" s="77" ht="15.75" customFormat="1">
      <c r="B7" s="89"/>
      <c r="C7" s="90"/>
      <c r="D7" s="90"/>
      <c r="E7" s="91"/>
      <c r="F7" s="92" t="s">
        <v>83</v>
      </c>
      <c r="G7" s="92"/>
      <c r="H7" s="92"/>
      <c r="I7" s="93"/>
      <c r="J7" s="94" t="s">
        <v>84</v>
      </c>
      <c r="K7" s="95" t="s">
        <v>85</v>
      </c>
      <c r="L7" s="95"/>
      <c r="M7" s="96"/>
    </row>
    <row r="8" spans="8:8" customHeight="1">
      <c r="B8" s="97"/>
      <c r="C8" s="98"/>
      <c r="D8" s="99" t="s">
        <v>64</v>
      </c>
      <c r="E8" s="100"/>
      <c r="F8" s="101"/>
      <c r="G8" s="101"/>
      <c r="H8" s="101"/>
      <c r="I8" s="100"/>
      <c r="J8" s="102"/>
      <c r="K8" s="103"/>
      <c r="L8" s="104"/>
      <c r="M8" s="105"/>
    </row>
    <row r="9" spans="8:8" customHeight="1">
      <c r="B9" s="106"/>
      <c r="C9" s="73"/>
      <c r="D9" s="107"/>
      <c r="E9" s="108" t="s">
        <v>65</v>
      </c>
      <c r="F9" s="109" t="s">
        <v>94</v>
      </c>
      <c r="G9" s="110"/>
      <c r="H9" s="110"/>
      <c r="I9" s="108" t="s">
        <v>65</v>
      </c>
      <c r="J9" s="111">
        <f>'Estado Situación Financiera'!G17</f>
        <v>1.01992017E9</v>
      </c>
      <c r="K9" s="112">
        <f>J9/J10</f>
        <v>148.99525076986905</v>
      </c>
      <c r="L9" s="113" t="s">
        <v>96</v>
      </c>
      <c r="M9" s="114"/>
    </row>
    <row r="10" spans="8:8" customHeight="1">
      <c r="B10" s="106"/>
      <c r="C10" s="115"/>
      <c r="D10" s="116"/>
      <c r="E10" s="117"/>
      <c r="F10" s="118" t="s">
        <v>95</v>
      </c>
      <c r="G10" s="116"/>
      <c r="H10" s="116"/>
      <c r="I10" s="117"/>
      <c r="J10" s="119">
        <f>'Estado Situación Financiera'!G31</f>
        <v>6845320.0</v>
      </c>
      <c r="K10" s="120"/>
      <c r="L10" s="121"/>
      <c r="M10" s="114"/>
    </row>
    <row r="11" spans="8:8" customHeight="1">
      <c r="B11" s="106"/>
      <c r="C11" s="122"/>
      <c r="D11" s="123" t="s">
        <v>66</v>
      </c>
      <c r="E11" s="124"/>
      <c r="F11" s="125"/>
      <c r="G11" s="125"/>
      <c r="H11" s="125"/>
      <c r="I11" s="124"/>
      <c r="J11" s="126"/>
      <c r="K11" s="127"/>
      <c r="L11" s="128"/>
      <c r="M11" s="114"/>
    </row>
    <row r="12" spans="8:8" customHeight="1">
      <c r="B12" s="106"/>
      <c r="C12" s="73"/>
      <c r="D12" s="107"/>
      <c r="E12" s="108" t="s">
        <v>65</v>
      </c>
      <c r="F12" s="109" t="s">
        <v>97</v>
      </c>
      <c r="G12" s="110"/>
      <c r="H12" s="110"/>
      <c r="I12" s="108" t="s">
        <v>65</v>
      </c>
      <c r="J12" s="129">
        <f>'Estado Situación Financiera'!G17-'Estado Situación Financiera'!G15</f>
        <v>9.7130419E8</v>
      </c>
      <c r="K12" s="130">
        <f>J12/J13</f>
        <v>141.89317519122554</v>
      </c>
      <c r="L12" s="113" t="s">
        <v>98</v>
      </c>
      <c r="M12" s="114"/>
    </row>
    <row r="13" spans="8:8" customHeight="1">
      <c r="B13" s="131"/>
      <c r="C13" s="132"/>
      <c r="D13" s="116"/>
      <c r="E13" s="117"/>
      <c r="F13" s="118" t="s">
        <v>95</v>
      </c>
      <c r="G13" s="116"/>
      <c r="H13" s="116"/>
      <c r="I13" s="117"/>
      <c r="J13" s="119">
        <f>'Estado Situación Financiera'!G31</f>
        <v>6845320.0</v>
      </c>
      <c r="K13" s="120"/>
      <c r="L13" s="121"/>
      <c r="M13" s="114"/>
    </row>
    <row r="14" spans="8:8" customHeight="1">
      <c r="B14" s="133"/>
      <c r="C14" s="134"/>
      <c r="D14" s="123" t="s">
        <v>67</v>
      </c>
      <c r="E14" s="124"/>
      <c r="F14" s="125"/>
      <c r="G14" s="125"/>
      <c r="H14" s="125"/>
      <c r="I14" s="124"/>
      <c r="J14" s="126"/>
      <c r="K14" s="127"/>
      <c r="L14" s="128"/>
      <c r="M14" s="114"/>
    </row>
    <row r="15" spans="8:8" customHeight="1">
      <c r="B15" s="106"/>
      <c r="C15" s="73"/>
      <c r="D15" s="107"/>
      <c r="E15" s="108" t="s">
        <v>65</v>
      </c>
      <c r="F15" s="135" t="s">
        <v>99</v>
      </c>
      <c r="G15" s="107"/>
      <c r="H15" s="107"/>
      <c r="I15" s="108" t="s">
        <v>65</v>
      </c>
      <c r="J15" s="136">
        <f>'Estado Situación Financiera'!G17-'Estado Situación Financiera'!G31</f>
        <v>1.01307485E9</v>
      </c>
      <c r="K15" s="137"/>
      <c r="L15" s="113" t="s">
        <v>100</v>
      </c>
      <c r="M15" s="114"/>
    </row>
    <row r="16" spans="8:8" customHeight="1">
      <c r="B16" s="138"/>
      <c r="C16" s="139"/>
      <c r="D16" s="140"/>
      <c r="E16" s="141"/>
      <c r="F16" s="142"/>
      <c r="G16" s="142"/>
      <c r="H16" s="142"/>
      <c r="I16" s="141"/>
      <c r="J16" s="143"/>
      <c r="K16" s="144"/>
      <c r="L16" s="145"/>
      <c r="M16" s="146"/>
    </row>
    <row r="17" spans="8:8" customHeight="1">
      <c r="B17" s="97"/>
      <c r="C17" s="98"/>
      <c r="D17" s="99" t="s">
        <v>68</v>
      </c>
      <c r="E17" s="100"/>
      <c r="F17" s="101"/>
      <c r="G17" s="101"/>
      <c r="H17" s="101"/>
      <c r="I17" s="100"/>
      <c r="J17" s="102"/>
      <c r="K17" s="103"/>
      <c r="L17" s="104"/>
      <c r="M17" s="105"/>
    </row>
    <row r="18" spans="8:8" customHeight="1">
      <c r="B18" s="147"/>
      <c r="C18" s="148"/>
      <c r="D18" s="107"/>
      <c r="E18" s="108" t="s">
        <v>65</v>
      </c>
      <c r="F18" s="149" t="s">
        <v>101</v>
      </c>
      <c r="G18" s="110"/>
      <c r="H18" s="110"/>
      <c r="I18" s="150" t="s">
        <v>65</v>
      </c>
      <c r="J18" s="151">
        <f>'Estado de Resultados'!G12</f>
        <v>1.8543075E8</v>
      </c>
      <c r="K18" s="130">
        <f>J18/J19</f>
        <v>3.442181543109469</v>
      </c>
      <c r="L18" s="113" t="s">
        <v>102</v>
      </c>
      <c r="M18" s="114"/>
    </row>
    <row r="19" spans="8:8" customHeight="1">
      <c r="B19" s="106"/>
      <c r="C19" s="73"/>
      <c r="D19" s="107"/>
      <c r="E19" s="108"/>
      <c r="F19" s="152" t="s">
        <v>11</v>
      </c>
      <c r="G19" s="153"/>
      <c r="H19" s="153"/>
      <c r="I19" s="150"/>
      <c r="J19" s="154">
        <f>'Estado Situación Financiera'!G14</f>
        <v>5.3870125E7</v>
      </c>
      <c r="K19" s="155" t="s">
        <v>103</v>
      </c>
      <c r="L19" s="113"/>
      <c r="M19" s="114"/>
    </row>
    <row r="20" spans="8:8" ht="12.6" customHeight="1">
      <c r="B20" s="106"/>
      <c r="C20" s="73"/>
      <c r="D20" s="156" t="s">
        <v>69</v>
      </c>
      <c r="E20" s="113"/>
      <c r="F20" s="113"/>
      <c r="G20" s="113"/>
      <c r="H20" s="113"/>
      <c r="I20" s="113"/>
      <c r="J20" s="157"/>
      <c r="K20" s="137"/>
      <c r="L20" s="113"/>
      <c r="M20" s="114"/>
    </row>
    <row r="21" spans="8:8" customHeight="1">
      <c r="B21" s="147"/>
      <c r="C21" s="148"/>
      <c r="D21" s="107"/>
      <c r="E21" s="113"/>
      <c r="F21" s="149" t="s">
        <v>104</v>
      </c>
      <c r="G21" s="110"/>
      <c r="H21" s="110"/>
      <c r="I21" s="113"/>
      <c r="J21" s="158">
        <v>365.0</v>
      </c>
      <c r="K21" s="159">
        <f>J21/J22</f>
        <v>106.0374054734719</v>
      </c>
      <c r="L21" s="113" t="s">
        <v>106</v>
      </c>
      <c r="M21" s="114"/>
    </row>
    <row r="22" spans="8:8" customHeight="1">
      <c r="B22" s="138"/>
      <c r="C22" s="139"/>
      <c r="D22" s="140"/>
      <c r="E22" s="160"/>
      <c r="F22" s="161" t="s">
        <v>105</v>
      </c>
      <c r="G22" s="140"/>
      <c r="H22" s="140"/>
      <c r="I22" s="160"/>
      <c r="J22" s="162">
        <f>K18</f>
        <v>3.442181543109469</v>
      </c>
      <c r="K22" s="163"/>
      <c r="L22" s="160"/>
      <c r="M22" s="164"/>
    </row>
    <row r="23" spans="8:8" customHeight="1">
      <c r="B23" s="97"/>
      <c r="C23" s="98"/>
      <c r="D23" s="99" t="s">
        <v>70</v>
      </c>
      <c r="E23" s="104"/>
      <c r="F23" s="104"/>
      <c r="G23" s="104"/>
      <c r="H23" s="104"/>
      <c r="I23" s="104"/>
      <c r="J23" s="165"/>
      <c r="K23" s="103"/>
      <c r="L23" s="104"/>
      <c r="M23" s="105"/>
    </row>
    <row r="24" spans="8:8" customHeight="1">
      <c r="B24" s="106"/>
      <c r="C24" s="73"/>
      <c r="D24" s="107"/>
      <c r="E24" s="113"/>
      <c r="F24" s="149" t="s">
        <v>107</v>
      </c>
      <c r="G24" s="110"/>
      <c r="H24" s="110"/>
      <c r="I24" s="113"/>
      <c r="J24" s="111">
        <f>'Estado de Resultados'!G13</f>
        <v>-6.8609377E7</v>
      </c>
      <c r="K24" s="130">
        <f>J24/J25</f>
        <v>-1.4112515473307337</v>
      </c>
      <c r="L24" s="166" t="s">
        <v>109</v>
      </c>
      <c r="M24" s="114"/>
    </row>
    <row r="25" spans="8:8" customHeight="1">
      <c r="B25" s="106"/>
      <c r="C25" s="73"/>
      <c r="D25" s="107"/>
      <c r="E25" s="113"/>
      <c r="F25" s="152" t="s">
        <v>108</v>
      </c>
      <c r="G25" s="107"/>
      <c r="H25" s="107"/>
      <c r="I25" s="113"/>
      <c r="J25" s="157">
        <f>'Estado Situación Financiera'!G15</f>
        <v>4.861598E7</v>
      </c>
      <c r="K25" s="137"/>
      <c r="L25" s="113"/>
      <c r="M25" s="114"/>
    </row>
    <row r="26" spans="8:8" customHeight="1">
      <c r="B26" s="106"/>
      <c r="C26" s="73"/>
      <c r="D26" s="156" t="s">
        <v>71</v>
      </c>
      <c r="E26" s="113"/>
      <c r="F26" s="113"/>
      <c r="G26" s="113"/>
      <c r="H26" s="113"/>
      <c r="I26" s="113"/>
      <c r="J26" s="157"/>
      <c r="K26" s="137"/>
      <c r="L26" s="113"/>
      <c r="M26" s="114"/>
    </row>
    <row r="27" spans="8:8" customHeight="1">
      <c r="B27" s="106"/>
      <c r="C27" s="73"/>
      <c r="D27" s="107"/>
      <c r="E27" s="113"/>
      <c r="F27" s="149" t="s">
        <v>110</v>
      </c>
      <c r="G27" s="110"/>
      <c r="H27" s="110"/>
      <c r="I27" s="113"/>
      <c r="J27" s="167">
        <v>365.0</v>
      </c>
      <c r="K27" s="159">
        <f>J27/J28</f>
        <v>-258.63567745266073</v>
      </c>
      <c r="L27" s="113" t="s">
        <v>112</v>
      </c>
      <c r="M27" s="114"/>
    </row>
    <row r="28" spans="8:8" ht="14.25">
      <c r="B28" s="138"/>
      <c r="C28" s="139"/>
      <c r="D28" s="140"/>
      <c r="E28" s="160"/>
      <c r="F28" s="161" t="s">
        <v>111</v>
      </c>
      <c r="G28" s="140"/>
      <c r="H28" s="140"/>
      <c r="I28" s="160"/>
      <c r="J28" s="162">
        <f>K24</f>
        <v>-1.4112515473307337</v>
      </c>
      <c r="K28" s="163"/>
      <c r="L28" s="160"/>
      <c r="M28" s="164"/>
    </row>
    <row r="29" spans="8:8" ht="12.95" customHeight="1">
      <c r="B29" s="97"/>
      <c r="C29" s="168"/>
      <c r="D29" s="99" t="s">
        <v>72</v>
      </c>
      <c r="E29" s="169"/>
      <c r="F29" s="169"/>
      <c r="G29" s="169"/>
      <c r="H29" s="169"/>
      <c r="I29" s="169"/>
      <c r="J29" s="170"/>
      <c r="K29" s="171"/>
      <c r="L29" s="171"/>
      <c r="M29" s="105"/>
    </row>
    <row r="30" spans="8:8" ht="13.5">
      <c r="B30" s="106"/>
      <c r="C30" s="172"/>
      <c r="D30" s="107"/>
      <c r="E30" s="173"/>
      <c r="F30" s="149" t="s">
        <v>101</v>
      </c>
      <c r="G30" s="110"/>
      <c r="H30" s="110"/>
      <c r="I30" s="173"/>
      <c r="J30" s="174">
        <f>'Estado de Resultados'!G12</f>
        <v>1.8543075E8</v>
      </c>
      <c r="K30" s="175">
        <f>J30/J31</f>
        <v>0.06620162441985006</v>
      </c>
      <c r="L30" s="176" t="s">
        <v>114</v>
      </c>
      <c r="M30" s="177"/>
    </row>
    <row r="31" spans="8:8" ht="13.5">
      <c r="B31" s="106"/>
      <c r="C31" s="172"/>
      <c r="D31" s="107"/>
      <c r="E31" s="173"/>
      <c r="F31" s="152" t="s">
        <v>113</v>
      </c>
      <c r="G31" s="107"/>
      <c r="H31" s="107"/>
      <c r="I31" s="173"/>
      <c r="J31" s="178">
        <f>'Estado Situación Financiera'!G26</f>
        <v>2.801E9</v>
      </c>
      <c r="K31" s="179" t="s">
        <v>103</v>
      </c>
      <c r="L31" s="176"/>
      <c r="M31" s="177"/>
    </row>
    <row r="32" spans="8:8" ht="13.5">
      <c r="B32" s="138"/>
      <c r="C32" s="139"/>
      <c r="D32" s="180"/>
      <c r="E32" s="160"/>
      <c r="F32" s="160"/>
      <c r="G32" s="160"/>
      <c r="H32" s="160"/>
      <c r="I32" s="160"/>
      <c r="J32" s="181"/>
      <c r="K32" s="163"/>
      <c r="L32" s="160"/>
      <c r="M32" s="164"/>
    </row>
    <row r="33" spans="8:8" customHeight="1">
      <c r="B33" s="97"/>
      <c r="C33" s="98"/>
      <c r="D33" s="99" t="s">
        <v>73</v>
      </c>
      <c r="E33" s="104"/>
      <c r="F33" s="104"/>
      <c r="G33" s="104"/>
      <c r="H33" s="104"/>
      <c r="I33" s="104"/>
      <c r="J33" s="165"/>
      <c r="K33" s="103"/>
      <c r="L33" s="104"/>
      <c r="M33" s="105"/>
    </row>
    <row r="34" spans="8:8" customHeight="1">
      <c r="B34" s="106"/>
      <c r="C34" s="73"/>
      <c r="D34" s="107"/>
      <c r="E34" s="113" t="s">
        <v>65</v>
      </c>
      <c r="F34" s="149" t="s">
        <v>107</v>
      </c>
      <c r="G34" s="110"/>
      <c r="H34" s="110"/>
      <c r="I34" s="113" t="s">
        <v>65</v>
      </c>
      <c r="J34" s="111">
        <f>'Estado de Resultados'!G13</f>
        <v>-6.8609377E7</v>
      </c>
      <c r="K34" s="159">
        <f>J34/J35</f>
        <v>-10.02281514962047</v>
      </c>
      <c r="L34" s="166" t="s">
        <v>116</v>
      </c>
      <c r="M34" s="114"/>
    </row>
    <row r="35" spans="8:8" customHeight="1">
      <c r="B35" s="138"/>
      <c r="C35" s="139"/>
      <c r="D35" s="140"/>
      <c r="E35" s="160"/>
      <c r="F35" s="161" t="s">
        <v>115</v>
      </c>
      <c r="G35" s="140"/>
      <c r="H35" s="140"/>
      <c r="I35" s="160"/>
      <c r="J35" s="181">
        <f>'Estado Situación Financiera'!G30</f>
        <v>6845320.0</v>
      </c>
      <c r="K35" s="182" t="s">
        <v>103</v>
      </c>
      <c r="L35" s="160"/>
      <c r="M35" s="164"/>
    </row>
    <row r="36" spans="8:8" customHeight="1">
      <c r="B36" s="97"/>
      <c r="C36" s="98"/>
      <c r="D36" s="183" t="s">
        <v>74</v>
      </c>
      <c r="E36" s="100"/>
      <c r="F36" s="101"/>
      <c r="G36" s="101"/>
      <c r="H36" s="101"/>
      <c r="I36" s="100"/>
      <c r="J36" s="102"/>
      <c r="K36" s="103"/>
      <c r="L36" s="104"/>
      <c r="M36" s="105"/>
    </row>
    <row r="37" spans="8:8" customHeight="1">
      <c r="B37" s="106"/>
      <c r="C37" s="73"/>
      <c r="D37" s="107"/>
      <c r="E37" s="108" t="s">
        <v>65</v>
      </c>
      <c r="F37" s="109" t="s">
        <v>117</v>
      </c>
      <c r="G37" s="110"/>
      <c r="H37" s="110"/>
      <c r="I37" s="108" t="s">
        <v>65</v>
      </c>
      <c r="J37" s="129">
        <f>'Estado Situación Financiera'!G35</f>
        <v>6845320.0</v>
      </c>
      <c r="K37" s="184">
        <f>J37/J38</f>
        <v>0.002443884327026062</v>
      </c>
      <c r="L37" s="113" t="s">
        <v>119</v>
      </c>
      <c r="M37" s="114"/>
    </row>
    <row r="38" spans="8:8" customHeight="1">
      <c r="B38" s="106"/>
      <c r="C38" s="73"/>
      <c r="D38" s="107"/>
      <c r="E38" s="108"/>
      <c r="F38" s="135" t="s">
        <v>118</v>
      </c>
      <c r="G38" s="107"/>
      <c r="H38" s="107"/>
      <c r="I38" s="108"/>
      <c r="J38" s="185">
        <f>'Estado Situación Financiera'!G26</f>
        <v>2.801E9</v>
      </c>
      <c r="K38" s="137"/>
      <c r="L38" s="113"/>
      <c r="M38" s="114"/>
    </row>
    <row r="39" spans="8:8" customHeight="1">
      <c r="B39" s="106"/>
      <c r="C39" s="73"/>
      <c r="D39" s="156" t="s">
        <v>75</v>
      </c>
      <c r="E39" s="108"/>
      <c r="I39" s="108"/>
      <c r="J39" s="185"/>
      <c r="K39" s="137"/>
      <c r="L39" s="113"/>
      <c r="M39" s="114"/>
    </row>
    <row r="40" spans="8:8" customHeight="1">
      <c r="B40" s="106"/>
      <c r="C40" s="73"/>
      <c r="D40" s="107"/>
      <c r="E40" s="108" t="s">
        <v>65</v>
      </c>
      <c r="F40" s="109" t="s">
        <v>63</v>
      </c>
      <c r="G40" s="110"/>
      <c r="H40" s="110"/>
      <c r="I40" s="108" t="s">
        <v>65</v>
      </c>
      <c r="J40" s="129">
        <f>'Estado Situación Financiera'!G33</f>
        <v>0.0</v>
      </c>
      <c r="K40" s="130">
        <f>J40/J41</f>
        <v>0.0</v>
      </c>
      <c r="L40" s="113" t="s">
        <v>125</v>
      </c>
      <c r="M40" s="114"/>
    </row>
    <row r="41" spans="8:8" customHeight="1">
      <c r="B41" s="106"/>
      <c r="C41" s="73"/>
      <c r="D41" s="107"/>
      <c r="E41" s="108"/>
      <c r="F41" s="135" t="s">
        <v>113</v>
      </c>
      <c r="G41" s="107"/>
      <c r="H41" s="107"/>
      <c r="I41" s="108"/>
      <c r="J41" s="185">
        <f>'Estado Situación Financiera'!G26</f>
        <v>2.801E9</v>
      </c>
      <c r="K41" s="137"/>
      <c r="L41" s="113"/>
      <c r="M41" s="114"/>
    </row>
    <row r="42" spans="8:8" customHeight="1">
      <c r="B42" s="106"/>
      <c r="C42" s="73"/>
      <c r="D42" s="156" t="s">
        <v>76</v>
      </c>
      <c r="E42" s="108"/>
      <c r="I42" s="108"/>
      <c r="J42" s="185"/>
      <c r="K42" s="137"/>
      <c r="L42" s="113"/>
      <c r="M42" s="114"/>
    </row>
    <row r="43" spans="8:8" customHeight="1">
      <c r="B43" s="106"/>
      <c r="C43" s="73"/>
      <c r="D43" s="107"/>
      <c r="E43" s="108" t="s">
        <v>65</v>
      </c>
      <c r="F43" s="186" t="s">
        <v>120</v>
      </c>
      <c r="G43" s="187"/>
      <c r="H43" s="187"/>
      <c r="I43" s="108" t="s">
        <v>65</v>
      </c>
      <c r="J43" s="129">
        <f>'Estado de Resultados'!G19</f>
        <v>3.7270043E7</v>
      </c>
      <c r="K43" s="130">
        <v>0.0</v>
      </c>
      <c r="L43" s="113" t="s">
        <v>126</v>
      </c>
      <c r="M43" s="114"/>
    </row>
    <row r="44" spans="8:8" customHeight="1">
      <c r="B44" s="138"/>
      <c r="C44" s="139"/>
      <c r="D44" s="140"/>
      <c r="E44" s="141"/>
      <c r="F44" s="188" t="s">
        <v>121</v>
      </c>
      <c r="G44" s="140"/>
      <c r="H44" s="140"/>
      <c r="I44" s="141"/>
      <c r="J44" s="143">
        <v>0.0</v>
      </c>
      <c r="K44" s="163"/>
      <c r="L44" s="160"/>
      <c r="M44" s="164"/>
    </row>
    <row r="45" spans="8:8" customHeight="1">
      <c r="B45" s="97"/>
      <c r="C45" s="98"/>
      <c r="D45" s="99" t="s">
        <v>77</v>
      </c>
      <c r="E45" s="100"/>
      <c r="F45" s="101"/>
      <c r="G45" s="101"/>
      <c r="H45" s="101"/>
      <c r="I45" s="100"/>
      <c r="J45" s="102"/>
      <c r="K45" s="103"/>
      <c r="L45" s="104"/>
      <c r="M45" s="189"/>
    </row>
    <row r="46" spans="8:8" customHeight="1">
      <c r="B46" s="106"/>
      <c r="C46" s="73"/>
      <c r="D46" s="107"/>
      <c r="E46" s="108" t="s">
        <v>65</v>
      </c>
      <c r="F46" s="109" t="s">
        <v>123</v>
      </c>
      <c r="G46" s="110"/>
      <c r="H46" s="110"/>
      <c r="I46" s="108" t="s">
        <v>65</v>
      </c>
      <c r="J46" s="129">
        <f>'Estado de Resultados'!G29</f>
        <v>3.12293187E7</v>
      </c>
      <c r="K46" s="184">
        <f>J46/J47</f>
        <v>0.011149346197786505</v>
      </c>
      <c r="L46" s="190" t="s">
        <v>127</v>
      </c>
      <c r="M46" s="191"/>
    </row>
    <row r="47" spans="8:8" customHeight="1">
      <c r="B47" s="106"/>
      <c r="C47" s="115"/>
      <c r="D47" s="116"/>
      <c r="E47" s="117"/>
      <c r="F47" s="118" t="s">
        <v>113</v>
      </c>
      <c r="G47" s="116"/>
      <c r="H47" s="116"/>
      <c r="I47" s="117"/>
      <c r="J47" s="119">
        <f>'Estado Situación Financiera'!G26</f>
        <v>2.801E9</v>
      </c>
      <c r="K47" s="120"/>
      <c r="L47" s="121"/>
      <c r="M47" s="191"/>
    </row>
    <row r="48" spans="8:8" customHeight="1">
      <c r="B48" s="106"/>
      <c r="C48" s="122"/>
      <c r="D48" s="123" t="s">
        <v>78</v>
      </c>
      <c r="E48" s="124"/>
      <c r="F48" s="125"/>
      <c r="G48" s="125"/>
      <c r="H48" s="125"/>
      <c r="I48" s="124"/>
      <c r="J48" s="125"/>
      <c r="K48" s="127"/>
      <c r="L48" s="128"/>
      <c r="M48" s="114"/>
    </row>
    <row r="49" spans="8:8" customHeight="1">
      <c r="B49" s="106"/>
      <c r="C49" s="73"/>
      <c r="D49" s="107"/>
      <c r="E49" s="108" t="s">
        <v>65</v>
      </c>
      <c r="F49" s="109" t="s">
        <v>123</v>
      </c>
      <c r="G49" s="110"/>
      <c r="H49" s="110"/>
      <c r="I49" s="108" t="s">
        <v>65</v>
      </c>
      <c r="J49" s="129">
        <f>'Estado de Resultados'!G29</f>
        <v>3.12293187E7</v>
      </c>
      <c r="K49" s="184">
        <f>J49/J50</f>
        <v>0.011176660663610791</v>
      </c>
      <c r="L49" s="113" t="s">
        <v>128</v>
      </c>
      <c r="M49" s="114"/>
    </row>
    <row r="50" spans="8:8" customHeight="1">
      <c r="B50" s="106"/>
      <c r="C50" s="115"/>
      <c r="D50" s="116"/>
      <c r="E50" s="117"/>
      <c r="F50" s="118" t="s">
        <v>93</v>
      </c>
      <c r="G50" s="116"/>
      <c r="H50" s="116"/>
      <c r="I50" s="117"/>
      <c r="J50" s="119">
        <f>'Estado Situación Financiera'!G42</f>
        <v>2.79415468E9</v>
      </c>
      <c r="K50" s="120"/>
      <c r="L50" s="121"/>
      <c r="M50" s="114"/>
    </row>
    <row r="51" spans="8:8" customHeight="1">
      <c r="B51" s="106"/>
      <c r="C51" s="73"/>
      <c r="D51" s="192" t="s">
        <v>79</v>
      </c>
      <c r="E51" s="108"/>
      <c r="F51" s="193"/>
      <c r="I51" s="108"/>
      <c r="J51" s="185"/>
      <c r="K51" s="137"/>
      <c r="L51" s="113"/>
      <c r="M51" s="114"/>
    </row>
    <row r="52" spans="8:8" customHeight="1">
      <c r="B52" s="106"/>
      <c r="C52" s="73"/>
      <c r="D52" s="107"/>
      <c r="E52" s="108"/>
      <c r="F52" s="186" t="s">
        <v>123</v>
      </c>
      <c r="G52" s="187"/>
      <c r="H52" s="187"/>
      <c r="I52" s="108" t="s">
        <v>65</v>
      </c>
      <c r="J52" s="194">
        <f>'Estado de Resultados'!G29</f>
        <v>3.12293187E7</v>
      </c>
      <c r="K52" s="137">
        <v>0.0</v>
      </c>
      <c r="L52" s="113" t="s">
        <v>131</v>
      </c>
      <c r="M52" s="114"/>
    </row>
    <row r="53" spans="8:8" customHeight="1">
      <c r="B53" s="106"/>
      <c r="C53" s="73"/>
      <c r="D53" s="140"/>
      <c r="E53" s="108"/>
      <c r="F53" s="188" t="s">
        <v>122</v>
      </c>
      <c r="G53" s="140"/>
      <c r="H53" s="140"/>
      <c r="I53" s="108"/>
      <c r="J53" s="185">
        <v>0.0</v>
      </c>
      <c r="K53" s="137"/>
      <c r="L53" s="113"/>
      <c r="M53" s="114"/>
    </row>
    <row r="54" spans="8:8" customHeight="1">
      <c r="B54" s="106"/>
      <c r="C54" s="122"/>
      <c r="D54" s="192" t="s">
        <v>80</v>
      </c>
      <c r="E54" s="124"/>
      <c r="F54" s="125"/>
      <c r="G54" s="125"/>
      <c r="H54" s="125"/>
      <c r="I54" s="124"/>
      <c r="J54" s="125"/>
      <c r="K54" s="127"/>
      <c r="L54" s="128"/>
      <c r="M54" s="114"/>
    </row>
    <row r="55" spans="8:8" customHeight="1">
      <c r="B55" s="106"/>
      <c r="C55" s="73"/>
      <c r="D55" s="107"/>
      <c r="E55" s="108" t="s">
        <v>65</v>
      </c>
      <c r="F55" s="109" t="s">
        <v>123</v>
      </c>
      <c r="G55" s="110"/>
      <c r="H55" s="110"/>
      <c r="I55" s="108" t="s">
        <v>65</v>
      </c>
      <c r="J55" s="129">
        <f>'Estado de Resultados'!G29</f>
        <v>3.12293187E7</v>
      </c>
      <c r="K55" s="195">
        <f>J55/J56</f>
        <v>0.1684149942768392</v>
      </c>
      <c r="L55" s="113" t="s">
        <v>129</v>
      </c>
      <c r="M55" s="114"/>
    </row>
    <row r="56" spans="8:8" customHeight="1">
      <c r="B56" s="106"/>
      <c r="C56" s="73"/>
      <c r="D56" s="107"/>
      <c r="E56" s="108"/>
      <c r="F56" s="135" t="s">
        <v>101</v>
      </c>
      <c r="G56" s="107"/>
      <c r="H56" s="107"/>
      <c r="I56" s="108"/>
      <c r="J56" s="185">
        <f>'Estado de Resultados'!G12</f>
        <v>1.8543075E8</v>
      </c>
      <c r="K56" s="137"/>
      <c r="L56" s="113"/>
      <c r="M56" s="114"/>
    </row>
    <row r="57" spans="8:8" s="77" ht="15.0" customFormat="1">
      <c r="B57" s="78"/>
      <c r="C57" s="196"/>
      <c r="D57" s="197"/>
      <c r="E57" s="82"/>
      <c r="F57" s="79"/>
      <c r="G57" s="79"/>
      <c r="H57" s="79"/>
      <c r="I57" s="79"/>
      <c r="J57" s="79"/>
      <c r="K57" s="79"/>
      <c r="L57" s="79"/>
      <c r="M57" s="85"/>
    </row>
    <row r="58" spans="8:8" s="77" ht="15.0" customFormat="1">
      <c r="B58" s="86"/>
      <c r="C58" s="198"/>
      <c r="D58" s="199" t="s">
        <v>81</v>
      </c>
      <c r="E58" s="200"/>
      <c r="F58" s="201" t="s">
        <v>124</v>
      </c>
      <c r="H58" s="202"/>
      <c r="I58" s="203" t="s">
        <v>65</v>
      </c>
      <c r="J58" s="204">
        <f>K55*K30*(J38/J50)</f>
        <v>0.011176660663610791</v>
      </c>
      <c r="K58" s="205"/>
      <c r="L58" s="77" t="s">
        <v>130</v>
      </c>
      <c r="M58" s="206"/>
    </row>
    <row r="59" spans="8:8" s="77" ht="15.75" customFormat="1">
      <c r="B59" s="89"/>
      <c r="C59" s="207"/>
      <c r="D59" s="208"/>
      <c r="E59" s="209"/>
      <c r="F59" s="188"/>
      <c r="G59" s="140"/>
      <c r="H59" s="140"/>
      <c r="I59" s="210"/>
      <c r="J59" s="211"/>
      <c r="K59" s="211"/>
      <c r="L59" s="212"/>
      <c r="M59" s="96"/>
    </row>
    <row r="60" spans="8:8" s="77" ht="15.0" customFormat="1">
      <c r="C60" s="201"/>
      <c r="D60" s="213"/>
      <c r="E60" s="214"/>
      <c r="F60" s="201"/>
      <c r="H60" s="213"/>
      <c r="I60" s="215"/>
      <c r="J60" s="215"/>
      <c r="K60" s="216"/>
    </row>
    <row r="61" spans="8:8" s="77" ht="6.0" customFormat="1" customHeight="1">
      <c r="D61" s="202"/>
      <c r="E61" s="217"/>
      <c r="H61" s="202"/>
      <c r="I61" s="215"/>
      <c r="J61" s="215"/>
      <c r="K61" s="205"/>
    </row>
    <row r="62" spans="8:8" customHeight="1">
      <c r="B62" s="73"/>
      <c r="C62" s="73"/>
      <c r="D62" s="218"/>
      <c r="E62" s="113"/>
      <c r="F62" s="113"/>
      <c r="G62" s="113"/>
      <c r="H62" s="113"/>
      <c r="I62" s="113"/>
      <c r="J62" s="157"/>
      <c r="K62" s="137"/>
      <c r="L62" s="113"/>
      <c r="M62" s="113"/>
    </row>
    <row r="63" spans="8:8" customHeight="1">
      <c r="B63" s="73"/>
      <c r="C63" s="73"/>
      <c r="D63" s="218"/>
      <c r="E63" s="113"/>
      <c r="F63" s="113"/>
      <c r="G63" s="113"/>
      <c r="H63" s="113"/>
      <c r="I63" s="113"/>
      <c r="J63" s="157"/>
      <c r="K63" s="137"/>
      <c r="L63" s="113"/>
      <c r="M63" s="113"/>
    </row>
    <row r="64" spans="8:8" customHeight="1">
      <c r="B64" s="73"/>
      <c r="C64" s="73"/>
      <c r="D64" s="218"/>
      <c r="E64" s="113"/>
      <c r="F64" s="113"/>
      <c r="G64" s="113"/>
      <c r="H64" s="113"/>
      <c r="I64" s="113"/>
      <c r="J64" s="157"/>
      <c r="K64" s="137"/>
      <c r="L64" s="113"/>
      <c r="M64" s="113"/>
    </row>
    <row r="65" spans="8:8" customHeight="1">
      <c r="B65" s="73"/>
      <c r="C65" s="73"/>
      <c r="D65" s="218"/>
      <c r="E65" s="113"/>
      <c r="F65" s="113"/>
      <c r="G65" s="113"/>
      <c r="H65" s="113"/>
      <c r="I65" s="113"/>
      <c r="J65" s="157"/>
      <c r="K65" s="137"/>
      <c r="L65" s="113"/>
      <c r="M65" s="113"/>
    </row>
    <row r="66" spans="8:8" customHeight="1">
      <c r="B66" s="73"/>
      <c r="C66" s="73"/>
      <c r="D66" s="218"/>
      <c r="E66" s="113"/>
      <c r="F66" s="113"/>
      <c r="G66" s="113"/>
      <c r="H66" s="113"/>
      <c r="I66" s="113"/>
      <c r="J66" s="157"/>
      <c r="K66" s="137"/>
      <c r="L66" s="113"/>
      <c r="M66" s="113"/>
    </row>
    <row r="67" spans="8:8" customHeight="1">
      <c r="B67" s="73"/>
      <c r="C67" s="73"/>
      <c r="D67" s="218"/>
      <c r="E67" s="113"/>
      <c r="F67" s="113"/>
      <c r="G67" s="113"/>
      <c r="H67" s="113"/>
      <c r="I67" s="113"/>
      <c r="J67" s="157"/>
      <c r="K67" s="137"/>
      <c r="L67" s="113"/>
      <c r="M67" s="113"/>
    </row>
    <row r="68" spans="8:8" customHeight="1">
      <c r="B68" s="73"/>
      <c r="C68" s="73"/>
      <c r="D68" s="218"/>
      <c r="E68" s="113"/>
      <c r="F68" s="113"/>
      <c r="G68" s="113"/>
      <c r="H68" s="113"/>
      <c r="I68" s="113"/>
      <c r="J68" s="157"/>
      <c r="K68" s="137"/>
      <c r="L68" s="113"/>
      <c r="M68" s="113"/>
    </row>
    <row r="69" spans="8:8" customHeight="1">
      <c r="B69" s="73"/>
      <c r="C69" s="73"/>
      <c r="D69" s="218"/>
      <c r="E69" s="113"/>
      <c r="F69" s="113"/>
      <c r="G69" s="113"/>
      <c r="H69" s="113"/>
      <c r="I69" s="113"/>
      <c r="J69" s="157"/>
      <c r="K69" s="137"/>
      <c r="L69" s="113"/>
      <c r="M69" s="113"/>
    </row>
    <row r="70" spans="8:8" customHeight="1">
      <c r="B70" s="73"/>
      <c r="C70" s="73"/>
      <c r="D70" s="218"/>
      <c r="E70" s="113"/>
      <c r="F70" s="113"/>
      <c r="G70" s="113"/>
      <c r="H70" s="113"/>
      <c r="I70" s="113"/>
      <c r="J70" s="157"/>
      <c r="K70" s="137"/>
      <c r="L70" s="113"/>
      <c r="M70" s="113"/>
    </row>
    <row r="71" spans="8:8" customHeight="1">
      <c r="B71" s="73"/>
      <c r="C71" s="73"/>
      <c r="D71" s="218"/>
      <c r="E71" s="113"/>
      <c r="F71" s="113"/>
      <c r="G71" s="113"/>
      <c r="H71" s="113"/>
      <c r="I71" s="113"/>
      <c r="J71" s="157"/>
      <c r="K71" s="137"/>
      <c r="L71" s="113"/>
      <c r="M71" s="113"/>
    </row>
    <row r="72" spans="8:8" customHeight="1">
      <c r="B72" s="73"/>
      <c r="C72" s="73"/>
      <c r="D72" s="218"/>
      <c r="E72" s="113"/>
      <c r="F72" s="113"/>
      <c r="G72" s="113"/>
      <c r="H72" s="113"/>
      <c r="I72" s="113"/>
      <c r="J72" s="157"/>
      <c r="K72" s="137"/>
      <c r="L72" s="113"/>
      <c r="M72" s="113"/>
    </row>
    <row r="73" spans="8:8" customHeight="1">
      <c r="B73" s="73"/>
      <c r="C73" s="73"/>
      <c r="D73" s="218"/>
      <c r="E73" s="113"/>
      <c r="F73" s="113"/>
      <c r="G73" s="113"/>
      <c r="H73" s="113"/>
      <c r="I73" s="113"/>
      <c r="J73" s="157"/>
      <c r="K73" s="137"/>
      <c r="L73" s="113"/>
      <c r="M73" s="113"/>
    </row>
    <row r="74" spans="8:8" customHeight="1">
      <c r="B74" s="73"/>
      <c r="C74" s="73"/>
      <c r="D74" s="218"/>
      <c r="E74" s="113"/>
      <c r="F74" s="113"/>
      <c r="G74" s="113"/>
      <c r="H74" s="113"/>
      <c r="I74" s="113"/>
      <c r="J74" s="157"/>
      <c r="K74" s="137"/>
      <c r="L74" s="113"/>
      <c r="M74" s="113"/>
    </row>
    <row r="75" spans="8:8" customHeight="1">
      <c r="B75" s="73"/>
      <c r="C75" s="73"/>
      <c r="D75" s="218"/>
      <c r="E75" s="113"/>
      <c r="F75" s="113"/>
      <c r="G75" s="113"/>
      <c r="H75" s="113"/>
      <c r="I75" s="113"/>
      <c r="J75" s="157"/>
      <c r="K75" s="137"/>
      <c r="L75" s="113"/>
      <c r="M75" s="113"/>
    </row>
    <row r="76" spans="8:8" customHeight="1">
      <c r="B76" s="73"/>
      <c r="C76" s="73"/>
      <c r="D76" s="218"/>
      <c r="E76" s="113"/>
      <c r="F76" s="113"/>
      <c r="G76" s="113"/>
      <c r="H76" s="113"/>
      <c r="I76" s="113"/>
      <c r="J76" s="157"/>
      <c r="K76" s="137"/>
      <c r="L76" s="113"/>
      <c r="M76" s="113"/>
    </row>
    <row r="77" spans="8:8" customHeight="1">
      <c r="B77" s="73"/>
      <c r="C77" s="73"/>
      <c r="D77" s="218"/>
      <c r="E77" s="113"/>
      <c r="F77" s="113"/>
      <c r="G77" s="113"/>
      <c r="H77" s="113"/>
      <c r="I77" s="113"/>
      <c r="J77" s="157"/>
      <c r="K77" s="137"/>
      <c r="L77" s="113"/>
      <c r="M77" s="113"/>
    </row>
    <row r="78" spans="8:8" customHeight="1">
      <c r="B78" s="73"/>
      <c r="C78" s="73"/>
      <c r="D78" s="218"/>
      <c r="E78" s="113"/>
      <c r="F78" s="113"/>
      <c r="G78" s="113"/>
      <c r="H78" s="113"/>
      <c r="I78" s="113"/>
      <c r="J78" s="157"/>
      <c r="K78" s="137"/>
      <c r="L78" s="113"/>
      <c r="M78" s="113"/>
    </row>
    <row r="79" spans="8:8" customHeight="1">
      <c r="B79" s="73"/>
      <c r="C79" s="73"/>
      <c r="D79" s="218"/>
      <c r="E79" s="113"/>
      <c r="F79" s="113"/>
      <c r="G79" s="113"/>
      <c r="H79" s="113"/>
      <c r="I79" s="113"/>
      <c r="J79" s="157"/>
      <c r="K79" s="137"/>
      <c r="L79" s="113"/>
      <c r="M79" s="113"/>
    </row>
    <row r="80" spans="8:8" customHeight="1">
      <c r="B80" s="73"/>
      <c r="C80" s="73"/>
      <c r="D80" s="218"/>
      <c r="E80" s="113"/>
      <c r="F80" s="113"/>
      <c r="G80" s="113"/>
      <c r="H80" s="113"/>
      <c r="I80" s="113"/>
      <c r="J80" s="157"/>
      <c r="K80" s="137"/>
      <c r="L80" s="113"/>
      <c r="M80" s="113"/>
    </row>
    <row r="81" spans="8:8" customHeight="1">
      <c r="B81" s="73"/>
      <c r="C81" s="73"/>
      <c r="D81" s="218"/>
      <c r="E81" s="113"/>
      <c r="F81" s="113"/>
      <c r="G81" s="113"/>
      <c r="H81" s="113"/>
      <c r="I81" s="113"/>
      <c r="J81" s="157"/>
      <c r="K81" s="137"/>
      <c r="L81" s="113"/>
      <c r="M81" s="113"/>
    </row>
    <row r="82" spans="8:8" customHeight="1">
      <c r="B82" s="73"/>
      <c r="C82" s="73"/>
      <c r="D82" s="218"/>
      <c r="E82" s="113"/>
      <c r="F82" s="113"/>
      <c r="G82" s="113"/>
      <c r="H82" s="113"/>
      <c r="I82" s="113"/>
      <c r="J82" s="157"/>
      <c r="K82" s="137"/>
      <c r="L82" s="113"/>
      <c r="M82" s="113"/>
    </row>
    <row r="83" spans="8:8" customHeight="1">
      <c r="B83" s="73"/>
      <c r="C83" s="73"/>
      <c r="D83" s="218"/>
      <c r="E83" s="113"/>
      <c r="F83" s="113"/>
      <c r="G83" s="113"/>
      <c r="H83" s="113"/>
      <c r="I83" s="113"/>
      <c r="J83" s="157"/>
      <c r="K83" s="137"/>
      <c r="L83" s="113"/>
      <c r="M83" s="113"/>
    </row>
    <row r="84" spans="8:8" customHeight="1">
      <c r="B84" s="73"/>
      <c r="C84" s="73"/>
      <c r="D84" s="218"/>
      <c r="E84" s="113"/>
      <c r="F84" s="113"/>
      <c r="G84" s="113"/>
      <c r="H84" s="113"/>
      <c r="I84" s="113"/>
      <c r="J84" s="157"/>
      <c r="K84" s="137"/>
      <c r="L84" s="113"/>
      <c r="M84" s="113"/>
    </row>
    <row r="85" spans="8:8" customHeight="1">
      <c r="B85" s="73"/>
      <c r="C85" s="73"/>
      <c r="D85" s="218"/>
      <c r="E85" s="113"/>
      <c r="F85" s="113"/>
      <c r="G85" s="113"/>
      <c r="H85" s="113"/>
      <c r="I85" s="113"/>
      <c r="J85" s="157"/>
      <c r="K85" s="137"/>
      <c r="L85" s="113"/>
      <c r="M85" s="113"/>
    </row>
    <row r="86" spans="8:8" customHeight="1">
      <c r="B86" s="73"/>
      <c r="C86" s="73"/>
      <c r="D86" s="218"/>
      <c r="E86" s="113"/>
      <c r="F86" s="113"/>
      <c r="G86" s="113"/>
      <c r="H86" s="113"/>
      <c r="I86" s="113"/>
      <c r="J86" s="157"/>
      <c r="K86" s="137"/>
      <c r="L86" s="113"/>
      <c r="M86" s="113"/>
    </row>
    <row r="87" spans="8:8" customHeight="1">
      <c r="B87" s="73"/>
      <c r="C87" s="73"/>
      <c r="D87" s="218"/>
      <c r="E87" s="113"/>
      <c r="F87" s="113"/>
      <c r="G87" s="113"/>
      <c r="H87" s="113"/>
      <c r="I87" s="113"/>
      <c r="J87" s="157"/>
      <c r="K87" s="137"/>
      <c r="L87" s="113"/>
      <c r="M87" s="113"/>
    </row>
    <row r="88" spans="8:8" customHeight="1">
      <c r="B88" s="73"/>
      <c r="C88" s="73"/>
      <c r="D88" s="218"/>
      <c r="E88" s="113"/>
      <c r="F88" s="113"/>
      <c r="G88" s="113"/>
      <c r="H88" s="113"/>
      <c r="I88" s="113"/>
      <c r="J88" s="157"/>
      <c r="K88" s="137"/>
      <c r="L88" s="113"/>
      <c r="M88" s="113"/>
    </row>
    <row r="89" spans="8:8" customHeight="1">
      <c r="B89" s="73"/>
      <c r="C89" s="73"/>
      <c r="D89" s="218"/>
      <c r="E89" s="113"/>
      <c r="F89" s="113"/>
      <c r="G89" s="113"/>
      <c r="H89" s="113"/>
      <c r="I89" s="113"/>
      <c r="J89" s="157"/>
      <c r="K89" s="137"/>
      <c r="L89" s="113"/>
      <c r="M89" s="113"/>
    </row>
    <row r="90" spans="8:8" customHeight="1">
      <c r="B90" s="73"/>
      <c r="C90" s="73"/>
      <c r="D90" s="218"/>
      <c r="E90" s="113"/>
      <c r="F90" s="113"/>
      <c r="G90" s="113"/>
      <c r="H90" s="113"/>
      <c r="I90" s="113"/>
      <c r="J90" s="157"/>
      <c r="K90" s="137"/>
      <c r="L90" s="113"/>
      <c r="M90" s="113"/>
    </row>
    <row r="91" spans="8:8" customHeight="1">
      <c r="B91" s="73"/>
      <c r="C91" s="73"/>
      <c r="D91" s="218"/>
      <c r="E91" s="113"/>
      <c r="F91" s="113"/>
      <c r="G91" s="113"/>
      <c r="H91" s="113"/>
      <c r="I91" s="113"/>
      <c r="J91" s="157"/>
      <c r="K91" s="137"/>
      <c r="L91" s="113"/>
      <c r="M91" s="113"/>
    </row>
    <row r="92" spans="8:8" customHeight="1">
      <c r="B92" s="73"/>
      <c r="C92" s="73"/>
      <c r="D92" s="218"/>
      <c r="E92" s="113"/>
      <c r="F92" s="113"/>
      <c r="G92" s="113"/>
      <c r="H92" s="113"/>
      <c r="I92" s="113"/>
      <c r="J92" s="157"/>
      <c r="K92" s="137"/>
      <c r="L92" s="113"/>
      <c r="M92" s="113"/>
    </row>
    <row r="93" spans="8:8" customHeight="1">
      <c r="B93" s="73"/>
      <c r="C93" s="73"/>
      <c r="D93" s="218"/>
      <c r="E93" s="113"/>
      <c r="F93" s="113"/>
      <c r="G93" s="113"/>
      <c r="H93" s="113"/>
      <c r="I93" s="113"/>
      <c r="J93" s="157"/>
      <c r="K93" s="137"/>
      <c r="L93" s="113"/>
      <c r="M93" s="113"/>
    </row>
    <row r="94" spans="8:8" customHeight="1">
      <c r="B94" s="73"/>
      <c r="C94" s="73"/>
      <c r="D94" s="218"/>
      <c r="E94" s="113"/>
      <c r="F94" s="113"/>
      <c r="G94" s="113"/>
      <c r="H94" s="113"/>
      <c r="I94" s="113"/>
      <c r="J94" s="157"/>
      <c r="K94" s="137"/>
      <c r="L94" s="113"/>
      <c r="M94" s="113"/>
    </row>
    <row r="95" spans="8:8" customHeight="1">
      <c r="B95" s="73"/>
      <c r="C95" s="73"/>
      <c r="D95" s="218"/>
      <c r="E95" s="113"/>
      <c r="F95" s="113"/>
      <c r="G95" s="113"/>
      <c r="H95" s="113"/>
      <c r="I95" s="113"/>
      <c r="J95" s="157"/>
      <c r="K95" s="137"/>
      <c r="L95" s="113"/>
      <c r="M95" s="113"/>
    </row>
    <row r="96" spans="8:8" customHeight="1">
      <c r="B96" s="73"/>
      <c r="C96" s="73"/>
      <c r="D96" s="218"/>
      <c r="E96" s="113"/>
      <c r="F96" s="113"/>
      <c r="G96" s="113"/>
      <c r="H96" s="113"/>
      <c r="I96" s="113"/>
      <c r="J96" s="157"/>
      <c r="K96" s="137"/>
      <c r="L96" s="113"/>
      <c r="M96" s="113"/>
    </row>
    <row r="97" spans="8:8" customHeight="1">
      <c r="B97" s="73"/>
      <c r="C97" s="73"/>
      <c r="D97" s="218"/>
      <c r="E97" s="113"/>
      <c r="F97" s="113"/>
      <c r="G97" s="113"/>
      <c r="H97" s="113"/>
      <c r="I97" s="113"/>
      <c r="J97" s="157"/>
      <c r="K97" s="137"/>
      <c r="L97" s="113"/>
      <c r="M97" s="113"/>
    </row>
    <row r="98" spans="8:8" customHeight="1">
      <c r="B98" s="73"/>
      <c r="C98" s="73"/>
      <c r="D98" s="218"/>
      <c r="E98" s="113"/>
      <c r="F98" s="113"/>
      <c r="G98" s="113"/>
      <c r="H98" s="113"/>
      <c r="I98" s="113"/>
      <c r="J98" s="157"/>
      <c r="K98" s="137"/>
      <c r="L98" s="113"/>
      <c r="M98" s="113"/>
    </row>
    <row r="99" spans="8:8" customHeight="1">
      <c r="B99" s="73"/>
      <c r="C99" s="73"/>
      <c r="D99" s="218"/>
      <c r="E99" s="113"/>
      <c r="F99" s="113"/>
      <c r="G99" s="113"/>
      <c r="H99" s="113"/>
      <c r="I99" s="113"/>
      <c r="J99" s="157"/>
      <c r="K99" s="137"/>
      <c r="L99" s="113"/>
      <c r="M99" s="113"/>
    </row>
    <row r="100" spans="8:8" customHeight="1">
      <c r="B100" s="73"/>
      <c r="C100" s="73"/>
      <c r="D100" s="218"/>
      <c r="E100" s="113"/>
      <c r="F100" s="113"/>
      <c r="G100" s="113"/>
      <c r="H100" s="113"/>
      <c r="I100" s="113"/>
      <c r="J100" s="157"/>
      <c r="K100" s="137"/>
      <c r="L100" s="113"/>
      <c r="M100" s="113"/>
    </row>
    <row r="101" spans="8:8" customHeight="1">
      <c r="B101" s="73"/>
      <c r="C101" s="73"/>
      <c r="D101" s="218"/>
      <c r="E101" s="113"/>
      <c r="F101" s="113"/>
      <c r="G101" s="113"/>
      <c r="H101" s="113"/>
      <c r="I101" s="113"/>
      <c r="J101" s="157"/>
      <c r="K101" s="137"/>
      <c r="L101" s="113"/>
      <c r="M101" s="113"/>
    </row>
    <row r="102" spans="8:8" customHeight="1">
      <c r="B102" s="73"/>
      <c r="C102" s="73"/>
      <c r="D102" s="218"/>
      <c r="E102" s="113"/>
      <c r="F102" s="113"/>
      <c r="G102" s="113"/>
      <c r="H102" s="113"/>
      <c r="I102" s="113"/>
      <c r="J102" s="157"/>
      <c r="K102" s="137"/>
      <c r="L102" s="113"/>
      <c r="M102" s="113"/>
    </row>
    <row r="103" spans="8:8" customHeight="1">
      <c r="B103" s="73"/>
      <c r="C103" s="73"/>
      <c r="D103" s="218"/>
      <c r="E103" s="113"/>
      <c r="F103" s="113"/>
      <c r="G103" s="113"/>
      <c r="H103" s="113"/>
      <c r="I103" s="113"/>
      <c r="J103" s="157"/>
      <c r="K103" s="137"/>
      <c r="L103" s="113"/>
      <c r="M103" s="113"/>
    </row>
    <row r="104" spans="8:8" customHeight="1">
      <c r="B104" s="73"/>
      <c r="C104" s="73"/>
      <c r="D104" s="218"/>
      <c r="E104" s="113"/>
      <c r="F104" s="113"/>
      <c r="G104" s="113"/>
      <c r="H104" s="113"/>
      <c r="I104" s="113"/>
      <c r="J104" s="157"/>
      <c r="K104" s="137"/>
      <c r="L104" s="113"/>
      <c r="M104" s="113"/>
    </row>
    <row r="105" spans="8:8" customHeight="1">
      <c r="B105" s="73"/>
      <c r="C105" s="73"/>
      <c r="D105" s="218"/>
      <c r="E105" s="113"/>
      <c r="F105" s="113"/>
      <c r="G105" s="113"/>
      <c r="H105" s="113"/>
      <c r="I105" s="113"/>
      <c r="J105" s="157"/>
      <c r="K105" s="137"/>
      <c r="L105" s="113"/>
      <c r="M105" s="113"/>
    </row>
    <row r="106" spans="8:8" customHeight="1">
      <c r="B106" s="73"/>
      <c r="C106" s="73"/>
      <c r="D106" s="218"/>
      <c r="E106" s="113"/>
      <c r="F106" s="113"/>
      <c r="G106" s="113"/>
      <c r="H106" s="113"/>
      <c r="I106" s="113"/>
      <c r="J106" s="157"/>
      <c r="K106" s="137"/>
      <c r="L106" s="113"/>
      <c r="M106" s="113"/>
    </row>
    <row r="107" spans="8:8" customHeight="1">
      <c r="B107" s="73"/>
      <c r="C107" s="73"/>
      <c r="D107" s="218"/>
      <c r="E107" s="113"/>
      <c r="F107" s="113"/>
      <c r="G107" s="113"/>
      <c r="H107" s="113"/>
      <c r="I107" s="113"/>
      <c r="J107" s="157"/>
      <c r="K107" s="137"/>
      <c r="L107" s="113"/>
      <c r="M107" s="113"/>
    </row>
    <row r="108" spans="8:8" customHeight="1">
      <c r="B108" s="73"/>
      <c r="C108" s="73"/>
      <c r="D108" s="218"/>
      <c r="E108" s="113"/>
      <c r="F108" s="113"/>
      <c r="G108" s="113"/>
      <c r="H108" s="113"/>
      <c r="I108" s="113"/>
      <c r="J108" s="157"/>
      <c r="K108" s="137"/>
      <c r="L108" s="113"/>
      <c r="M108" s="113"/>
    </row>
    <row r="109" spans="8:8" customHeight="1">
      <c r="B109" s="73"/>
      <c r="C109" s="73"/>
      <c r="D109" s="218"/>
      <c r="E109" s="113"/>
      <c r="F109" s="113"/>
      <c r="G109" s="113"/>
      <c r="H109" s="113"/>
      <c r="I109" s="113"/>
      <c r="J109" s="157"/>
      <c r="K109" s="137"/>
      <c r="L109" s="113"/>
      <c r="M109" s="113"/>
    </row>
    <row r="110" spans="8:8" customHeight="1">
      <c r="B110" s="73"/>
      <c r="C110" s="73"/>
      <c r="D110" s="218"/>
      <c r="E110" s="113"/>
      <c r="F110" s="113"/>
      <c r="G110" s="113"/>
      <c r="H110" s="113"/>
      <c r="I110" s="113"/>
      <c r="J110" s="157"/>
      <c r="K110" s="137"/>
      <c r="L110" s="113"/>
      <c r="M110" s="113"/>
    </row>
    <row r="111" spans="8:8" customHeight="1">
      <c r="B111" s="73"/>
      <c r="C111" s="73"/>
      <c r="D111" s="218"/>
      <c r="E111" s="113"/>
      <c r="F111" s="113"/>
      <c r="G111" s="113"/>
      <c r="H111" s="113"/>
      <c r="I111" s="113"/>
      <c r="J111" s="157"/>
      <c r="K111" s="137"/>
      <c r="L111" s="113"/>
      <c r="M111" s="113"/>
    </row>
    <row r="112" spans="8:8" customHeight="1">
      <c r="B112" s="73"/>
      <c r="C112" s="73"/>
      <c r="D112" s="218"/>
      <c r="E112" s="113"/>
      <c r="F112" s="113"/>
      <c r="G112" s="113"/>
      <c r="H112" s="113"/>
      <c r="I112" s="113"/>
      <c r="J112" s="157"/>
      <c r="K112" s="137"/>
      <c r="L112" s="113"/>
      <c r="M112" s="113"/>
    </row>
    <row r="113" spans="8:8" customHeight="1">
      <c r="B113" s="73"/>
      <c r="C113" s="73"/>
      <c r="D113" s="218"/>
      <c r="E113" s="113"/>
      <c r="F113" s="113"/>
      <c r="G113" s="113"/>
      <c r="H113" s="113"/>
      <c r="I113" s="113"/>
      <c r="J113" s="157"/>
      <c r="K113" s="137"/>
      <c r="L113" s="113"/>
      <c r="M113" s="113"/>
    </row>
    <row r="114" spans="8:8" customHeight="1">
      <c r="B114" s="73"/>
      <c r="C114" s="73"/>
      <c r="D114" s="218"/>
      <c r="E114" s="113"/>
      <c r="F114" s="113"/>
      <c r="G114" s="113"/>
      <c r="H114" s="113"/>
      <c r="I114" s="113"/>
      <c r="J114" s="157"/>
      <c r="K114" s="137"/>
      <c r="L114" s="113"/>
      <c r="M114" s="113"/>
    </row>
    <row r="115" spans="8:8" customHeight="1">
      <c r="B115" s="73"/>
      <c r="C115" s="73"/>
      <c r="D115" s="218"/>
      <c r="E115" s="113"/>
      <c r="F115" s="113"/>
      <c r="G115" s="113"/>
      <c r="H115" s="113"/>
      <c r="I115" s="113"/>
      <c r="J115" s="157"/>
      <c r="K115" s="137"/>
      <c r="L115" s="113"/>
      <c r="M115" s="113"/>
    </row>
    <row r="116" spans="8:8" customHeight="1">
      <c r="B116" s="73"/>
      <c r="C116" s="73"/>
      <c r="D116" s="218"/>
      <c r="E116" s="113"/>
      <c r="F116" s="113"/>
      <c r="G116" s="113"/>
      <c r="H116" s="113"/>
      <c r="I116" s="113"/>
      <c r="J116" s="157"/>
      <c r="K116" s="137"/>
      <c r="L116" s="113"/>
      <c r="M116" s="113"/>
    </row>
    <row r="117" spans="8:8" customHeight="1">
      <c r="B117" s="73"/>
      <c r="C117" s="73"/>
      <c r="D117" s="218"/>
      <c r="E117" s="113"/>
      <c r="F117" s="113"/>
      <c r="G117" s="113"/>
      <c r="H117" s="113"/>
      <c r="I117" s="113"/>
      <c r="J117" s="157"/>
      <c r="K117" s="137"/>
      <c r="L117" s="113"/>
      <c r="M117" s="113"/>
    </row>
    <row r="118" spans="8:8" customHeight="1">
      <c r="B118" s="73"/>
      <c r="C118" s="73"/>
      <c r="D118" s="218"/>
      <c r="E118" s="113"/>
      <c r="F118" s="113"/>
      <c r="G118" s="113"/>
      <c r="H118" s="113"/>
      <c r="I118" s="113"/>
      <c r="J118" s="157"/>
      <c r="K118" s="137"/>
      <c r="L118" s="113"/>
      <c r="M118" s="113"/>
    </row>
    <row r="119" spans="8:8" customHeight="1">
      <c r="B119" s="73"/>
      <c r="C119" s="73"/>
      <c r="D119" s="218"/>
      <c r="E119" s="113"/>
      <c r="F119" s="113"/>
      <c r="G119" s="113"/>
      <c r="H119" s="113"/>
      <c r="I119" s="113"/>
      <c r="J119" s="157"/>
      <c r="K119" s="137"/>
      <c r="L119" s="113"/>
      <c r="M119" s="113"/>
    </row>
    <row r="120" spans="8:8" customHeight="1">
      <c r="B120" s="73"/>
      <c r="C120" s="73"/>
      <c r="D120" s="218"/>
      <c r="E120" s="113"/>
      <c r="F120" s="113"/>
      <c r="G120" s="113"/>
      <c r="H120" s="113"/>
      <c r="I120" s="113"/>
      <c r="J120" s="157"/>
      <c r="K120" s="137"/>
      <c r="L120" s="113"/>
      <c r="M120" s="113"/>
    </row>
    <row r="121" spans="8:8" customHeight="1">
      <c r="B121" s="73"/>
      <c r="C121" s="73"/>
      <c r="D121" s="218"/>
      <c r="E121" s="113"/>
      <c r="F121" s="113"/>
      <c r="G121" s="113"/>
      <c r="H121" s="113"/>
      <c r="I121" s="113"/>
      <c r="J121" s="157"/>
      <c r="K121" s="137"/>
      <c r="L121" s="113"/>
      <c r="M121" s="113"/>
    </row>
    <row r="122" spans="8:8" customHeight="1">
      <c r="B122" s="73"/>
      <c r="C122" s="73"/>
      <c r="D122" s="218"/>
      <c r="E122" s="113"/>
      <c r="F122" s="113"/>
      <c r="G122" s="113"/>
      <c r="H122" s="113"/>
      <c r="I122" s="113"/>
      <c r="J122" s="157"/>
      <c r="K122" s="137"/>
      <c r="L122" s="113"/>
      <c r="M122" s="113"/>
    </row>
    <row r="123" spans="8:8" customHeight="1">
      <c r="B123" s="73"/>
      <c r="C123" s="73"/>
      <c r="D123" s="218"/>
      <c r="E123" s="113"/>
      <c r="F123" s="113"/>
      <c r="G123" s="113"/>
      <c r="H123" s="113"/>
      <c r="I123" s="113"/>
      <c r="J123" s="157"/>
      <c r="K123" s="137"/>
      <c r="L123" s="113"/>
      <c r="M123" s="113"/>
    </row>
    <row r="124" spans="8:8" customHeight="1">
      <c r="B124" s="73"/>
      <c r="C124" s="73"/>
      <c r="D124" s="218"/>
      <c r="E124" s="113"/>
      <c r="F124" s="113"/>
      <c r="G124" s="113"/>
      <c r="H124" s="113"/>
      <c r="I124" s="113"/>
      <c r="J124" s="157"/>
      <c r="K124" s="137"/>
      <c r="L124" s="113"/>
      <c r="M124" s="113"/>
    </row>
    <row r="125" spans="8:8" customHeight="1">
      <c r="B125" s="73"/>
      <c r="C125" s="73"/>
      <c r="D125" s="218"/>
      <c r="E125" s="113"/>
      <c r="F125" s="113"/>
      <c r="G125" s="113"/>
      <c r="H125" s="113"/>
      <c r="I125" s="113"/>
      <c r="J125" s="157"/>
      <c r="K125" s="137"/>
      <c r="L125" s="113"/>
      <c r="M125" s="113"/>
    </row>
    <row r="126" spans="8:8" customHeight="1">
      <c r="B126" s="73"/>
      <c r="C126" s="73"/>
      <c r="D126" s="218"/>
      <c r="E126" s="113"/>
      <c r="F126" s="113"/>
      <c r="G126" s="113"/>
      <c r="H126" s="113"/>
      <c r="I126" s="113"/>
      <c r="J126" s="157"/>
      <c r="K126" s="137"/>
      <c r="L126" s="113"/>
      <c r="M126" s="113"/>
    </row>
    <row r="127" spans="8:8" customHeight="1">
      <c r="B127" s="73"/>
      <c r="C127" s="73"/>
      <c r="D127" s="218"/>
      <c r="E127" s="113"/>
      <c r="F127" s="113"/>
      <c r="G127" s="113"/>
      <c r="H127" s="113"/>
      <c r="I127" s="113"/>
      <c r="J127" s="157"/>
      <c r="K127" s="137"/>
      <c r="L127" s="113"/>
      <c r="M127" s="113"/>
    </row>
    <row r="128" spans="8:8" customHeight="1">
      <c r="B128" s="73"/>
      <c r="C128" s="73"/>
      <c r="D128" s="218"/>
      <c r="E128" s="113"/>
      <c r="F128" s="113"/>
      <c r="G128" s="113"/>
      <c r="H128" s="113"/>
      <c r="I128" s="113"/>
      <c r="J128" s="157"/>
      <c r="K128" s="137"/>
      <c r="L128" s="113"/>
      <c r="M128" s="113"/>
    </row>
    <row r="129" spans="8:8" customHeight="1">
      <c r="B129" s="73"/>
      <c r="C129" s="73"/>
      <c r="D129" s="218"/>
      <c r="E129" s="113"/>
      <c r="F129" s="113"/>
      <c r="G129" s="113"/>
      <c r="H129" s="113"/>
      <c r="I129" s="113"/>
      <c r="J129" s="157"/>
      <c r="K129" s="137"/>
      <c r="L129" s="113"/>
      <c r="M129" s="113"/>
    </row>
    <row r="130" spans="8:8" customHeight="1">
      <c r="B130" s="73"/>
      <c r="C130" s="73"/>
      <c r="D130" s="218"/>
      <c r="E130" s="113"/>
      <c r="F130" s="113"/>
      <c r="G130" s="113"/>
      <c r="H130" s="113"/>
      <c r="I130" s="113"/>
      <c r="J130" s="157"/>
      <c r="K130" s="137"/>
      <c r="L130" s="113"/>
      <c r="M130" s="113"/>
    </row>
    <row r="131" spans="8:8" customHeight="1">
      <c r="B131" s="73"/>
      <c r="C131" s="73"/>
      <c r="D131" s="218"/>
      <c r="E131" s="113"/>
      <c r="F131" s="113"/>
      <c r="G131" s="113"/>
      <c r="H131" s="113"/>
      <c r="I131" s="113"/>
      <c r="J131" s="157"/>
      <c r="K131" s="137"/>
      <c r="L131" s="113"/>
      <c r="M131" s="113"/>
    </row>
    <row r="132" spans="8:8" customHeight="1">
      <c r="B132" s="73"/>
      <c r="C132" s="73"/>
      <c r="D132" s="218"/>
      <c r="E132" s="113"/>
      <c r="F132" s="113"/>
      <c r="G132" s="113"/>
      <c r="H132" s="113"/>
      <c r="I132" s="113"/>
      <c r="J132" s="157"/>
      <c r="K132" s="137"/>
      <c r="L132" s="113"/>
      <c r="M132" s="113"/>
    </row>
    <row r="133" spans="8:8" customHeight="1">
      <c r="B133" s="73"/>
      <c r="C133" s="73"/>
      <c r="D133" s="218"/>
      <c r="E133" s="113"/>
      <c r="F133" s="113"/>
      <c r="G133" s="113"/>
      <c r="H133" s="113"/>
      <c r="I133" s="113"/>
      <c r="J133" s="157"/>
      <c r="K133" s="137"/>
      <c r="L133" s="113"/>
      <c r="M133" s="113"/>
    </row>
    <row r="134" spans="8:8" customHeight="1">
      <c r="B134" s="73"/>
      <c r="C134" s="73"/>
      <c r="D134" s="218"/>
      <c r="E134" s="113"/>
      <c r="F134" s="113"/>
      <c r="G134" s="113"/>
      <c r="H134" s="113"/>
      <c r="I134" s="113"/>
      <c r="J134" s="157"/>
      <c r="K134" s="137"/>
      <c r="L134" s="113"/>
      <c r="M134" s="113"/>
    </row>
    <row r="135" spans="8:8" customHeight="1">
      <c r="B135" s="73"/>
      <c r="C135" s="73"/>
      <c r="D135" s="218"/>
      <c r="E135" s="113"/>
      <c r="F135" s="113"/>
      <c r="G135" s="113"/>
      <c r="H135" s="113"/>
      <c r="I135" s="113"/>
      <c r="J135" s="157"/>
      <c r="K135" s="137"/>
      <c r="L135" s="113"/>
      <c r="M135" s="113"/>
    </row>
    <row r="136" spans="8:8" customHeight="1">
      <c r="B136" s="73"/>
      <c r="C136" s="73"/>
      <c r="D136" s="218"/>
      <c r="E136" s="113"/>
      <c r="F136" s="113"/>
      <c r="G136" s="113"/>
      <c r="H136" s="113"/>
      <c r="I136" s="113"/>
      <c r="J136" s="157"/>
      <c r="K136" s="137"/>
      <c r="L136" s="113"/>
      <c r="M136" s="113"/>
    </row>
    <row r="137" spans="8:8" customHeight="1">
      <c r="B137" s="73"/>
      <c r="C137" s="73"/>
      <c r="D137" s="218"/>
      <c r="E137" s="113"/>
      <c r="F137" s="113"/>
      <c r="G137" s="113"/>
      <c r="H137" s="113"/>
      <c r="I137" s="113"/>
      <c r="J137" s="157"/>
      <c r="K137" s="137"/>
      <c r="L137" s="113"/>
      <c r="M137" s="113"/>
    </row>
    <row r="138" spans="8:8" customHeight="1">
      <c r="B138" s="73"/>
      <c r="C138" s="73"/>
      <c r="D138" s="218"/>
      <c r="E138" s="113"/>
      <c r="F138" s="113"/>
      <c r="G138" s="113"/>
      <c r="H138" s="113"/>
      <c r="I138" s="113"/>
      <c r="J138" s="157"/>
      <c r="K138" s="137"/>
      <c r="L138" s="113"/>
      <c r="M138" s="113"/>
    </row>
    <row r="139" spans="8:8" customHeight="1">
      <c r="B139" s="73"/>
      <c r="C139" s="73"/>
      <c r="D139" s="218"/>
      <c r="E139" s="113"/>
      <c r="F139" s="113"/>
      <c r="G139" s="113"/>
      <c r="H139" s="113"/>
      <c r="I139" s="113"/>
      <c r="J139" s="157"/>
      <c r="K139" s="137"/>
      <c r="L139" s="113"/>
      <c r="M139" s="113"/>
    </row>
    <row r="140" spans="8:8" customHeight="1">
      <c r="B140" s="73"/>
      <c r="C140" s="73"/>
      <c r="D140" s="218"/>
      <c r="E140" s="113"/>
      <c r="F140" s="113"/>
      <c r="G140" s="113"/>
      <c r="H140" s="113"/>
      <c r="I140" s="113"/>
      <c r="J140" s="157"/>
      <c r="K140" s="137"/>
      <c r="L140" s="113"/>
      <c r="M140" s="113"/>
    </row>
    <row r="141" spans="8:8" customHeight="1">
      <c r="B141" s="73"/>
      <c r="C141" s="73"/>
      <c r="D141" s="218"/>
      <c r="E141" s="113"/>
      <c r="F141" s="113"/>
      <c r="G141" s="113"/>
      <c r="H141" s="113"/>
      <c r="I141" s="113"/>
      <c r="J141" s="157"/>
      <c r="K141" s="137"/>
      <c r="L141" s="113"/>
      <c r="M141" s="113"/>
    </row>
    <row r="142" spans="8:8" customHeight="1">
      <c r="B142" s="73"/>
      <c r="C142" s="73"/>
      <c r="D142" s="218"/>
      <c r="E142" s="113"/>
      <c r="F142" s="113"/>
      <c r="G142" s="113"/>
      <c r="H142" s="113"/>
      <c r="I142" s="113"/>
      <c r="J142" s="157"/>
      <c r="K142" s="137"/>
      <c r="L142" s="113"/>
      <c r="M142" s="113"/>
    </row>
    <row r="143" spans="8:8" customHeight="1">
      <c r="B143" s="73"/>
      <c r="C143" s="73"/>
      <c r="D143" s="218"/>
      <c r="E143" s="113"/>
      <c r="F143" s="113"/>
      <c r="G143" s="113"/>
      <c r="H143" s="113"/>
      <c r="I143" s="113"/>
      <c r="J143" s="157"/>
      <c r="K143" s="137"/>
      <c r="L143" s="113"/>
      <c r="M143" s="113"/>
    </row>
    <row r="144" spans="8:8" customHeight="1">
      <c r="B144" s="73"/>
      <c r="C144" s="73"/>
      <c r="D144" s="218"/>
      <c r="E144" s="113"/>
      <c r="F144" s="113"/>
      <c r="G144" s="113"/>
      <c r="H144" s="113"/>
      <c r="I144" s="113"/>
      <c r="J144" s="157"/>
      <c r="K144" s="137"/>
      <c r="L144" s="113"/>
      <c r="M144" s="113"/>
    </row>
    <row r="145" spans="8:8" customHeight="1">
      <c r="B145" s="73"/>
      <c r="C145" s="73"/>
      <c r="D145" s="218"/>
      <c r="E145" s="113"/>
      <c r="F145" s="113"/>
      <c r="G145" s="113"/>
      <c r="H145" s="113"/>
      <c r="I145" s="113"/>
      <c r="J145" s="157"/>
      <c r="K145" s="137"/>
      <c r="L145" s="113"/>
      <c r="M145" s="113"/>
    </row>
    <row r="146" spans="8:8" customHeight="1">
      <c r="B146" s="73"/>
      <c r="C146" s="73"/>
      <c r="D146" s="218"/>
      <c r="E146" s="113"/>
      <c r="F146" s="113"/>
      <c r="G146" s="113"/>
      <c r="H146" s="113"/>
      <c r="I146" s="113"/>
      <c r="J146" s="157"/>
      <c r="K146" s="137"/>
      <c r="L146" s="113"/>
      <c r="M146" s="113"/>
    </row>
    <row r="147" spans="8:8" customHeight="1">
      <c r="B147" s="73"/>
      <c r="C147" s="73"/>
      <c r="D147" s="218"/>
      <c r="E147" s="113"/>
      <c r="F147" s="113"/>
      <c r="G147" s="113"/>
      <c r="H147" s="113"/>
      <c r="I147" s="113"/>
      <c r="J147" s="157"/>
      <c r="K147" s="137"/>
      <c r="L147" s="113"/>
      <c r="M147" s="113"/>
    </row>
    <row r="148" spans="8:8" customHeight="1">
      <c r="B148" s="73"/>
      <c r="C148" s="73"/>
      <c r="D148" s="218"/>
      <c r="E148" s="113"/>
      <c r="F148" s="113"/>
      <c r="G148" s="113"/>
      <c r="H148" s="113"/>
      <c r="I148" s="113"/>
      <c r="J148" s="157"/>
      <c r="K148" s="137"/>
      <c r="L148" s="113"/>
      <c r="M148" s="113"/>
    </row>
    <row r="149" spans="8:8" customHeight="1">
      <c r="B149" s="73"/>
      <c r="C149" s="73"/>
      <c r="D149" s="218"/>
      <c r="E149" s="113"/>
      <c r="F149" s="113"/>
      <c r="G149" s="113"/>
      <c r="H149" s="113"/>
      <c r="I149" s="113"/>
      <c r="J149" s="157"/>
      <c r="K149" s="137"/>
      <c r="L149" s="113"/>
      <c r="M149" s="113"/>
    </row>
    <row r="150" spans="8:8" customHeight="1">
      <c r="B150" s="73"/>
      <c r="C150" s="73"/>
      <c r="D150" s="218"/>
      <c r="E150" s="113"/>
      <c r="F150" s="113"/>
      <c r="G150" s="113"/>
      <c r="H150" s="113"/>
      <c r="I150" s="113"/>
      <c r="J150" s="157"/>
      <c r="K150" s="137"/>
      <c r="L150" s="113"/>
      <c r="M150" s="113"/>
    </row>
    <row r="151" spans="8:8" customHeight="1">
      <c r="B151" s="73"/>
      <c r="C151" s="73"/>
      <c r="D151" s="218"/>
      <c r="E151" s="113"/>
      <c r="F151" s="113"/>
      <c r="G151" s="113"/>
      <c r="H151" s="113"/>
      <c r="I151" s="113"/>
      <c r="J151" s="157"/>
      <c r="K151" s="137"/>
      <c r="L151" s="113"/>
      <c r="M151" s="113"/>
    </row>
    <row r="152" spans="8:8" customHeight="1">
      <c r="B152" s="73"/>
      <c r="C152" s="73"/>
      <c r="D152" s="218"/>
      <c r="E152" s="113"/>
      <c r="F152" s="113"/>
      <c r="G152" s="113"/>
      <c r="H152" s="113"/>
      <c r="I152" s="113"/>
      <c r="J152" s="157"/>
      <c r="K152" s="137"/>
      <c r="L152" s="113"/>
      <c r="M152" s="113"/>
    </row>
    <row r="153" spans="8:8" customHeight="1">
      <c r="B153" s="73"/>
      <c r="C153" s="73"/>
      <c r="D153" s="218"/>
      <c r="E153" s="113"/>
      <c r="F153" s="113"/>
      <c r="G153" s="113"/>
      <c r="H153" s="113"/>
      <c r="I153" s="113"/>
      <c r="J153" s="157"/>
      <c r="K153" s="137"/>
      <c r="L153" s="113"/>
      <c r="M153" s="113"/>
    </row>
    <row r="154" spans="8:8" customHeight="1">
      <c r="B154" s="73"/>
      <c r="C154" s="73"/>
      <c r="D154" s="218"/>
      <c r="E154" s="113"/>
      <c r="F154" s="113"/>
      <c r="G154" s="113"/>
      <c r="H154" s="113"/>
      <c r="I154" s="113"/>
      <c r="J154" s="157"/>
      <c r="K154" s="137"/>
      <c r="L154" s="113"/>
      <c r="M154" s="113"/>
    </row>
    <row r="155" spans="8:8" customHeight="1">
      <c r="B155" s="73"/>
      <c r="C155" s="73"/>
      <c r="D155" s="218"/>
      <c r="E155" s="113"/>
      <c r="F155" s="113"/>
      <c r="G155" s="113"/>
      <c r="H155" s="113"/>
      <c r="I155" s="113"/>
      <c r="J155" s="157"/>
      <c r="K155" s="137"/>
      <c r="L155" s="113"/>
      <c r="M155" s="113"/>
    </row>
    <row r="156" spans="8:8" customHeight="1">
      <c r="B156" s="73"/>
      <c r="C156" s="73"/>
      <c r="D156" s="218"/>
      <c r="E156" s="113"/>
      <c r="F156" s="113"/>
      <c r="G156" s="113"/>
      <c r="H156" s="113"/>
      <c r="I156" s="113"/>
      <c r="J156" s="157"/>
      <c r="K156" s="137"/>
      <c r="L156" s="113"/>
      <c r="M156" s="113"/>
    </row>
    <row r="157" spans="8:8" customHeight="1">
      <c r="B157" s="73"/>
      <c r="C157" s="73"/>
      <c r="D157" s="218"/>
      <c r="E157" s="113"/>
      <c r="F157" s="113"/>
      <c r="G157" s="113"/>
      <c r="H157" s="113"/>
      <c r="I157" s="113"/>
      <c r="J157" s="157"/>
      <c r="K157" s="137"/>
      <c r="L157" s="113"/>
      <c r="M157" s="113"/>
    </row>
    <row r="158" spans="8:8" customHeight="1">
      <c r="B158" s="73"/>
      <c r="C158" s="73"/>
      <c r="D158" s="218"/>
      <c r="E158" s="113"/>
      <c r="F158" s="113"/>
      <c r="G158" s="113"/>
      <c r="H158" s="113"/>
      <c r="I158" s="113"/>
      <c r="J158" s="157"/>
      <c r="K158" s="137"/>
      <c r="L158" s="113"/>
      <c r="M158" s="113"/>
    </row>
    <row r="159" spans="8:8" customHeight="1">
      <c r="B159" s="73"/>
      <c r="C159" s="73"/>
      <c r="D159" s="218"/>
      <c r="E159" s="113"/>
      <c r="F159" s="113"/>
      <c r="G159" s="113"/>
      <c r="H159" s="113"/>
      <c r="I159" s="113"/>
      <c r="J159" s="157"/>
      <c r="K159" s="137"/>
      <c r="L159" s="113"/>
      <c r="M159" s="113"/>
    </row>
    <row r="160" spans="8:8" customHeight="1">
      <c r="B160" s="73"/>
      <c r="C160" s="73"/>
      <c r="D160" s="218"/>
      <c r="E160" s="113"/>
      <c r="F160" s="113"/>
      <c r="G160" s="113"/>
      <c r="H160" s="113"/>
      <c r="I160" s="113"/>
      <c r="J160" s="157"/>
      <c r="K160" s="137"/>
      <c r="L160" s="113"/>
      <c r="M160" s="113"/>
    </row>
    <row r="161" spans="8:8" customHeight="1">
      <c r="B161" s="73"/>
      <c r="C161" s="73"/>
      <c r="D161" s="218"/>
      <c r="E161" s="113"/>
      <c r="F161" s="113"/>
      <c r="G161" s="113"/>
      <c r="H161" s="113"/>
      <c r="I161" s="113"/>
      <c r="J161" s="157"/>
      <c r="K161" s="137"/>
      <c r="L161" s="113"/>
      <c r="M161" s="113"/>
    </row>
    <row r="162" spans="8:8" customHeight="1">
      <c r="B162" s="73"/>
      <c r="C162" s="73"/>
      <c r="D162" s="218"/>
      <c r="E162" s="113"/>
      <c r="F162" s="113"/>
      <c r="G162" s="113"/>
      <c r="H162" s="113"/>
      <c r="I162" s="113"/>
      <c r="J162" s="157"/>
      <c r="K162" s="137"/>
      <c r="L162" s="113"/>
      <c r="M162" s="113"/>
    </row>
    <row r="163" spans="8:8" customHeight="1">
      <c r="B163" s="73"/>
      <c r="C163" s="73"/>
      <c r="D163" s="218"/>
      <c r="E163" s="113"/>
      <c r="F163" s="113"/>
      <c r="G163" s="113"/>
      <c r="H163" s="113"/>
      <c r="I163" s="113"/>
      <c r="J163" s="157"/>
      <c r="K163" s="137"/>
      <c r="L163" s="113"/>
      <c r="M163" s="113"/>
    </row>
    <row r="164" spans="8:8" customHeight="1">
      <c r="B164" s="73"/>
      <c r="C164" s="73"/>
      <c r="D164" s="218"/>
      <c r="E164" s="113"/>
      <c r="F164" s="113"/>
      <c r="G164" s="113"/>
      <c r="H164" s="113"/>
      <c r="I164" s="113"/>
      <c r="J164" s="157"/>
      <c r="K164" s="137"/>
      <c r="L164" s="113"/>
      <c r="M164" s="113"/>
    </row>
    <row r="165" spans="8:8" customHeight="1">
      <c r="B165" s="73"/>
      <c r="C165" s="73"/>
      <c r="D165" s="218"/>
      <c r="E165" s="113"/>
      <c r="F165" s="113"/>
      <c r="G165" s="113"/>
      <c r="H165" s="113"/>
      <c r="I165" s="113"/>
      <c r="J165" s="157"/>
      <c r="K165" s="137"/>
      <c r="L165" s="113"/>
      <c r="M165" s="113"/>
    </row>
    <row r="166" spans="8:8" customHeight="1">
      <c r="B166" s="73"/>
      <c r="C166" s="73"/>
      <c r="D166" s="218"/>
      <c r="E166" s="113"/>
      <c r="F166" s="113"/>
      <c r="G166" s="113"/>
      <c r="H166" s="113"/>
      <c r="I166" s="113"/>
      <c r="J166" s="157"/>
      <c r="K166" s="137"/>
      <c r="L166" s="113"/>
      <c r="M166" s="113"/>
    </row>
    <row r="167" spans="8:8" customHeight="1">
      <c r="B167" s="73"/>
      <c r="C167" s="73"/>
      <c r="D167" s="218"/>
      <c r="E167" s="113"/>
      <c r="F167" s="113"/>
      <c r="G167" s="113"/>
      <c r="H167" s="113"/>
      <c r="I167" s="113"/>
      <c r="J167" s="157"/>
      <c r="K167" s="137"/>
      <c r="L167" s="113"/>
      <c r="M167" s="113"/>
    </row>
    <row r="168" spans="8:8" customHeight="1">
      <c r="B168" s="73"/>
      <c r="C168" s="73"/>
      <c r="D168" s="218"/>
      <c r="E168" s="113"/>
      <c r="F168" s="113"/>
      <c r="G168" s="113"/>
      <c r="H168" s="113"/>
      <c r="I168" s="113"/>
      <c r="J168" s="157"/>
      <c r="K168" s="137"/>
      <c r="L168" s="113"/>
      <c r="M168" s="113"/>
    </row>
    <row r="169" spans="8:8" customHeight="1">
      <c r="B169" s="73"/>
      <c r="C169" s="73"/>
      <c r="D169" s="218"/>
      <c r="E169" s="113"/>
      <c r="F169" s="113"/>
      <c r="G169" s="113"/>
      <c r="H169" s="113"/>
      <c r="I169" s="113"/>
      <c r="J169" s="157"/>
      <c r="K169" s="137"/>
      <c r="L169" s="113"/>
      <c r="M169" s="113"/>
    </row>
    <row r="170" spans="8:8" customHeight="1">
      <c r="B170" s="73"/>
      <c r="C170" s="73"/>
      <c r="D170" s="218"/>
      <c r="E170" s="113"/>
      <c r="F170" s="113"/>
      <c r="G170" s="113"/>
      <c r="H170" s="113"/>
      <c r="I170" s="113"/>
      <c r="J170" s="157"/>
      <c r="K170" s="137"/>
      <c r="L170" s="113"/>
      <c r="M170" s="113"/>
    </row>
    <row r="171" spans="8:8" customHeight="1">
      <c r="B171" s="73"/>
      <c r="C171" s="73"/>
      <c r="D171" s="218"/>
      <c r="E171" s="113"/>
      <c r="F171" s="113"/>
      <c r="G171" s="113"/>
      <c r="H171" s="113"/>
      <c r="I171" s="113"/>
      <c r="J171" s="157"/>
      <c r="K171" s="137"/>
      <c r="L171" s="113"/>
      <c r="M171" s="113"/>
    </row>
    <row r="172" spans="8:8" customHeight="1">
      <c r="B172" s="73"/>
      <c r="C172" s="73"/>
      <c r="D172" s="218"/>
      <c r="E172" s="113"/>
      <c r="F172" s="113"/>
      <c r="G172" s="113"/>
      <c r="H172" s="113"/>
      <c r="I172" s="113"/>
      <c r="J172" s="157"/>
      <c r="K172" s="137"/>
      <c r="L172" s="113"/>
      <c r="M172" s="113"/>
    </row>
    <row r="173" spans="8:8" customHeight="1">
      <c r="B173" s="73"/>
      <c r="C173" s="73"/>
      <c r="D173" s="218"/>
      <c r="E173" s="113"/>
      <c r="F173" s="113"/>
      <c r="G173" s="113"/>
      <c r="H173" s="113"/>
      <c r="I173" s="113"/>
      <c r="J173" s="157"/>
      <c r="K173" s="137"/>
      <c r="L173" s="113"/>
      <c r="M173" s="113"/>
    </row>
    <row r="174" spans="8:8" customHeight="1">
      <c r="B174" s="73"/>
      <c r="C174" s="73"/>
      <c r="D174" s="218"/>
      <c r="E174" s="113"/>
      <c r="F174" s="113"/>
      <c r="G174" s="113"/>
      <c r="H174" s="113"/>
      <c r="I174" s="113"/>
      <c r="J174" s="157"/>
      <c r="K174" s="137"/>
      <c r="L174" s="113"/>
      <c r="M174" s="113"/>
    </row>
    <row r="175" spans="8:8" customHeight="1">
      <c r="B175" s="73"/>
      <c r="C175" s="73"/>
      <c r="D175" s="218"/>
      <c r="E175" s="113"/>
      <c r="F175" s="113"/>
      <c r="G175" s="113"/>
      <c r="H175" s="113"/>
      <c r="I175" s="113"/>
      <c r="J175" s="157"/>
      <c r="K175" s="137"/>
      <c r="L175" s="113"/>
      <c r="M175" s="113"/>
    </row>
    <row r="176" spans="8:8" customHeight="1">
      <c r="B176" s="73"/>
      <c r="C176" s="73"/>
      <c r="D176" s="218"/>
      <c r="E176" s="113"/>
      <c r="F176" s="113"/>
      <c r="G176" s="113"/>
      <c r="H176" s="113"/>
      <c r="I176" s="113"/>
      <c r="J176" s="157"/>
      <c r="K176" s="137"/>
      <c r="L176" s="113"/>
      <c r="M176" s="113"/>
    </row>
    <row r="177" spans="8:8" customHeight="1">
      <c r="B177" s="73"/>
      <c r="C177" s="73"/>
      <c r="D177" s="218"/>
      <c r="E177" s="113"/>
      <c r="F177" s="113"/>
      <c r="G177" s="113"/>
      <c r="H177" s="113"/>
      <c r="I177" s="113"/>
      <c r="J177" s="157"/>
      <c r="K177" s="137"/>
      <c r="L177" s="113"/>
      <c r="M177" s="113"/>
    </row>
    <row r="178" spans="8:8" customHeight="1">
      <c r="B178" s="73"/>
      <c r="C178" s="73"/>
      <c r="D178" s="218"/>
      <c r="E178" s="113"/>
      <c r="F178" s="113"/>
      <c r="G178" s="113"/>
      <c r="H178" s="113"/>
      <c r="I178" s="113"/>
      <c r="J178" s="157"/>
      <c r="K178" s="137"/>
      <c r="L178" s="113"/>
      <c r="M178" s="113"/>
    </row>
    <row r="179" spans="8:8" customHeight="1">
      <c r="B179" s="73"/>
      <c r="C179" s="73"/>
      <c r="D179" s="218"/>
      <c r="E179" s="113"/>
      <c r="F179" s="113"/>
      <c r="G179" s="113"/>
      <c r="H179" s="113"/>
      <c r="I179" s="113"/>
      <c r="J179" s="157"/>
      <c r="K179" s="137"/>
      <c r="L179" s="113"/>
      <c r="M179" s="113"/>
    </row>
    <row r="180" spans="8:8" customHeight="1">
      <c r="B180" s="73"/>
      <c r="C180" s="73"/>
      <c r="D180" s="218"/>
      <c r="E180" s="113"/>
      <c r="F180" s="113"/>
      <c r="G180" s="113"/>
      <c r="H180" s="113"/>
      <c r="I180" s="113"/>
      <c r="J180" s="157"/>
      <c r="K180" s="137"/>
      <c r="L180" s="113"/>
      <c r="M180" s="113"/>
    </row>
    <row r="181" spans="8:8" customHeight="1">
      <c r="B181" s="73"/>
      <c r="C181" s="73"/>
      <c r="D181" s="218"/>
      <c r="E181" s="113"/>
      <c r="F181" s="113"/>
      <c r="G181" s="113"/>
      <c r="H181" s="113"/>
      <c r="I181" s="113"/>
      <c r="J181" s="157"/>
      <c r="K181" s="137"/>
      <c r="L181" s="113"/>
      <c r="M181" s="113"/>
    </row>
    <row r="182" spans="8:8" customHeight="1">
      <c r="B182" s="73"/>
      <c r="C182" s="73"/>
      <c r="D182" s="218"/>
      <c r="E182" s="113"/>
      <c r="F182" s="113"/>
      <c r="G182" s="113"/>
      <c r="H182" s="113"/>
      <c r="I182" s="113"/>
      <c r="J182" s="157"/>
      <c r="K182" s="137"/>
      <c r="L182" s="113"/>
      <c r="M182" s="113"/>
    </row>
    <row r="183" spans="8:8" customHeight="1">
      <c r="B183" s="73"/>
      <c r="C183" s="73"/>
      <c r="D183" s="218"/>
      <c r="E183" s="113"/>
      <c r="F183" s="113"/>
      <c r="G183" s="113"/>
      <c r="H183" s="113"/>
      <c r="I183" s="113"/>
      <c r="J183" s="157"/>
      <c r="K183" s="137"/>
      <c r="L183" s="113"/>
      <c r="M183" s="113"/>
    </row>
    <row r="184" spans="8:8" customHeight="1">
      <c r="B184" s="73"/>
      <c r="C184" s="73"/>
      <c r="D184" s="218"/>
      <c r="E184" s="113"/>
      <c r="F184" s="113"/>
      <c r="G184" s="113"/>
      <c r="H184" s="113"/>
      <c r="I184" s="113"/>
      <c r="J184" s="157"/>
      <c r="K184" s="137"/>
      <c r="L184" s="113"/>
      <c r="M184" s="113"/>
    </row>
    <row r="185" spans="8:8" customHeight="1">
      <c r="B185" s="73"/>
      <c r="C185" s="73"/>
      <c r="D185" s="218"/>
      <c r="E185" s="113"/>
      <c r="F185" s="113"/>
      <c r="G185" s="113"/>
      <c r="H185" s="113"/>
      <c r="I185" s="113"/>
      <c r="J185" s="157"/>
      <c r="K185" s="137"/>
      <c r="L185" s="113"/>
      <c r="M185" s="113"/>
    </row>
    <row r="186" spans="8:8" customHeight="1">
      <c r="B186" s="73"/>
      <c r="C186" s="73"/>
      <c r="D186" s="218"/>
      <c r="E186" s="113"/>
      <c r="F186" s="113"/>
      <c r="G186" s="113"/>
      <c r="H186" s="113"/>
      <c r="I186" s="113"/>
      <c r="J186" s="157"/>
      <c r="K186" s="137"/>
      <c r="L186" s="113"/>
      <c r="M186" s="113"/>
    </row>
    <row r="187" spans="8:8" customHeight="1">
      <c r="B187" s="73"/>
      <c r="C187" s="73"/>
      <c r="D187" s="218"/>
      <c r="E187" s="113"/>
      <c r="F187" s="113"/>
      <c r="G187" s="113"/>
      <c r="H187" s="113"/>
      <c r="I187" s="113"/>
      <c r="J187" s="157"/>
      <c r="K187" s="137"/>
      <c r="L187" s="113"/>
      <c r="M187" s="113"/>
    </row>
    <row r="188" spans="8:8" customHeight="1">
      <c r="B188" s="73"/>
      <c r="C188" s="73"/>
      <c r="D188" s="218"/>
      <c r="E188" s="113"/>
      <c r="F188" s="113"/>
      <c r="G188" s="113"/>
      <c r="H188" s="113"/>
      <c r="I188" s="113"/>
      <c r="J188" s="157"/>
      <c r="K188" s="137"/>
      <c r="L188" s="113"/>
      <c r="M188" s="113"/>
    </row>
    <row r="189" spans="8:8" customHeight="1">
      <c r="B189" s="73"/>
      <c r="C189" s="73"/>
      <c r="D189" s="218"/>
      <c r="E189" s="113"/>
      <c r="F189" s="113"/>
      <c r="G189" s="113"/>
      <c r="H189" s="113"/>
      <c r="I189" s="113"/>
      <c r="J189" s="157"/>
      <c r="K189" s="137"/>
      <c r="L189" s="113"/>
      <c r="M189" s="113"/>
    </row>
    <row r="190" spans="8:8" customHeight="1">
      <c r="B190" s="73"/>
      <c r="C190" s="73"/>
      <c r="D190" s="218"/>
      <c r="E190" s="113"/>
      <c r="F190" s="113"/>
      <c r="G190" s="113"/>
      <c r="H190" s="113"/>
      <c r="I190" s="113"/>
      <c r="J190" s="157"/>
      <c r="K190" s="137"/>
      <c r="L190" s="113"/>
      <c r="M190" s="113"/>
    </row>
    <row r="191" spans="8:8" customHeight="1">
      <c r="B191" s="73"/>
      <c r="C191" s="73"/>
      <c r="D191" s="218"/>
      <c r="E191" s="113"/>
      <c r="F191" s="113"/>
      <c r="G191" s="113"/>
      <c r="H191" s="113"/>
      <c r="I191" s="113"/>
      <c r="J191" s="157"/>
      <c r="K191" s="137"/>
      <c r="L191" s="113"/>
      <c r="M191" s="113"/>
    </row>
    <row r="192" spans="8:8" customHeight="1">
      <c r="B192" s="73"/>
      <c r="C192" s="73"/>
      <c r="D192" s="218"/>
      <c r="E192" s="113"/>
      <c r="F192" s="113"/>
      <c r="G192" s="113"/>
      <c r="H192" s="113"/>
      <c r="I192" s="113"/>
      <c r="J192" s="157"/>
      <c r="K192" s="137"/>
      <c r="L192" s="113"/>
      <c r="M192" s="113"/>
    </row>
    <row r="193" spans="8:8" customHeight="1">
      <c r="B193" s="73"/>
      <c r="C193" s="73"/>
      <c r="D193" s="218"/>
      <c r="E193" s="113"/>
      <c r="F193" s="113"/>
      <c r="G193" s="113"/>
      <c r="H193" s="113"/>
      <c r="I193" s="113"/>
      <c r="J193" s="157"/>
      <c r="K193" s="137"/>
      <c r="L193" s="113"/>
      <c r="M193" s="113"/>
    </row>
    <row r="194" spans="8:8" customHeight="1">
      <c r="B194" s="73"/>
      <c r="C194" s="73"/>
      <c r="D194" s="218"/>
      <c r="E194" s="113"/>
      <c r="F194" s="113"/>
      <c r="G194" s="113"/>
      <c r="H194" s="113"/>
      <c r="I194" s="113"/>
      <c r="J194" s="157"/>
      <c r="K194" s="137"/>
      <c r="L194" s="113"/>
      <c r="M194" s="113"/>
    </row>
    <row r="195" spans="8:8" customHeight="1">
      <c r="B195" s="73"/>
      <c r="C195" s="73"/>
      <c r="D195" s="218"/>
      <c r="E195" s="113"/>
      <c r="F195" s="113"/>
      <c r="G195" s="113"/>
      <c r="H195" s="113"/>
      <c r="I195" s="113"/>
      <c r="J195" s="157"/>
      <c r="K195" s="137"/>
      <c r="L195" s="113"/>
      <c r="M195" s="113"/>
    </row>
    <row r="196" spans="8:8" customHeight="1">
      <c r="B196" s="73"/>
      <c r="C196" s="73"/>
      <c r="D196" s="218"/>
      <c r="E196" s="113"/>
      <c r="F196" s="113"/>
      <c r="G196" s="113"/>
      <c r="H196" s="113"/>
      <c r="I196" s="113"/>
      <c r="J196" s="157"/>
      <c r="K196" s="137"/>
      <c r="L196" s="113"/>
      <c r="M196" s="113"/>
    </row>
    <row r="197" spans="8:8" customHeight="1">
      <c r="B197" s="73"/>
      <c r="C197" s="73"/>
      <c r="D197" s="218"/>
      <c r="E197" s="113"/>
      <c r="F197" s="113"/>
      <c r="G197" s="113"/>
      <c r="H197" s="113"/>
      <c r="I197" s="113"/>
      <c r="J197" s="157"/>
      <c r="K197" s="137"/>
      <c r="L197" s="113"/>
      <c r="M197" s="113"/>
    </row>
    <row r="198" spans="8:8" customHeight="1">
      <c r="B198" s="73"/>
      <c r="C198" s="73"/>
      <c r="D198" s="218"/>
      <c r="E198" s="113"/>
      <c r="F198" s="113"/>
      <c r="G198" s="113"/>
      <c r="H198" s="113"/>
      <c r="I198" s="113"/>
      <c r="J198" s="157"/>
      <c r="K198" s="137"/>
      <c r="L198" s="113"/>
      <c r="M198" s="113"/>
    </row>
    <row r="199" spans="8:8" customHeight="1">
      <c r="B199" s="73"/>
      <c r="C199" s="73"/>
      <c r="D199" s="218"/>
      <c r="E199" s="113"/>
      <c r="F199" s="113"/>
      <c r="G199" s="113"/>
      <c r="H199" s="113"/>
      <c r="I199" s="113"/>
      <c r="J199" s="157"/>
      <c r="K199" s="137"/>
      <c r="L199" s="113"/>
      <c r="M199" s="113"/>
    </row>
    <row r="200" spans="8:8" customHeight="1">
      <c r="B200" s="73"/>
      <c r="C200" s="73"/>
      <c r="D200" s="218"/>
      <c r="E200" s="113"/>
      <c r="F200" s="113"/>
      <c r="G200" s="113"/>
      <c r="H200" s="113"/>
      <c r="I200" s="113"/>
      <c r="J200" s="157"/>
      <c r="K200" s="137"/>
      <c r="L200" s="113"/>
      <c r="M200" s="113"/>
    </row>
    <row r="201" spans="8:8" customHeight="1">
      <c r="B201" s="73"/>
      <c r="C201" s="73"/>
      <c r="D201" s="218"/>
      <c r="E201" s="113"/>
      <c r="F201" s="113"/>
      <c r="G201" s="113"/>
      <c r="H201" s="113"/>
      <c r="I201" s="113"/>
      <c r="J201" s="157"/>
      <c r="K201" s="137"/>
      <c r="L201" s="113"/>
      <c r="M201" s="113"/>
    </row>
    <row r="202" spans="8:8" customHeight="1">
      <c r="B202" s="73"/>
      <c r="C202" s="73"/>
      <c r="D202" s="218"/>
      <c r="E202" s="113"/>
      <c r="F202" s="113"/>
      <c r="G202" s="113"/>
      <c r="H202" s="113"/>
      <c r="I202" s="113"/>
      <c r="J202" s="157"/>
      <c r="K202" s="137"/>
      <c r="L202" s="113"/>
      <c r="M202" s="113"/>
    </row>
    <row r="203" spans="8:8" customHeight="1">
      <c r="B203" s="73"/>
      <c r="C203" s="73"/>
      <c r="D203" s="218"/>
      <c r="E203" s="113"/>
      <c r="F203" s="113"/>
      <c r="G203" s="113"/>
      <c r="H203" s="113"/>
      <c r="I203" s="113"/>
      <c r="J203" s="157"/>
      <c r="K203" s="137"/>
      <c r="L203" s="113"/>
      <c r="M203" s="113"/>
    </row>
    <row r="204" spans="8:8" customHeight="1">
      <c r="B204" s="73"/>
      <c r="C204" s="73"/>
      <c r="D204" s="218"/>
      <c r="E204" s="113"/>
      <c r="F204" s="113"/>
      <c r="G204" s="113"/>
      <c r="H204" s="113"/>
      <c r="I204" s="113"/>
      <c r="J204" s="157"/>
      <c r="K204" s="137"/>
      <c r="L204" s="113"/>
      <c r="M204" s="113"/>
    </row>
    <row r="205" spans="8:8" customHeight="1">
      <c r="B205" s="73"/>
      <c r="C205" s="73"/>
      <c r="D205" s="218"/>
      <c r="E205" s="113"/>
      <c r="F205" s="113"/>
      <c r="G205" s="113"/>
      <c r="H205" s="113"/>
      <c r="I205" s="113"/>
      <c r="J205" s="157"/>
      <c r="K205" s="137"/>
      <c r="L205" s="113"/>
      <c r="M205" s="113"/>
    </row>
    <row r="206" spans="8:8" customHeight="1">
      <c r="B206" s="73"/>
      <c r="C206" s="73"/>
      <c r="D206" s="218"/>
      <c r="E206" s="113"/>
      <c r="F206" s="113"/>
      <c r="G206" s="113"/>
      <c r="H206" s="113"/>
      <c r="I206" s="113"/>
      <c r="J206" s="157"/>
      <c r="K206" s="137"/>
      <c r="L206" s="113"/>
      <c r="M206" s="113"/>
    </row>
    <row r="207" spans="8:8" customHeight="1">
      <c r="B207" s="73"/>
      <c r="C207" s="73"/>
      <c r="D207" s="218"/>
      <c r="E207" s="113"/>
      <c r="F207" s="113"/>
      <c r="G207" s="113"/>
      <c r="H207" s="113"/>
      <c r="I207" s="113"/>
      <c r="J207" s="157"/>
      <c r="K207" s="137"/>
      <c r="L207" s="113"/>
      <c r="M207" s="113"/>
    </row>
    <row r="208" spans="8:8" customHeight="1">
      <c r="B208" s="73"/>
      <c r="C208" s="73"/>
      <c r="D208" s="218"/>
      <c r="E208" s="113"/>
      <c r="F208" s="113"/>
      <c r="G208" s="113"/>
      <c r="H208" s="113"/>
      <c r="I208" s="113"/>
      <c r="J208" s="157"/>
      <c r="K208" s="137"/>
      <c r="L208" s="113"/>
      <c r="M208" s="113"/>
    </row>
    <row r="209" spans="8:8" customHeight="1">
      <c r="B209" s="73"/>
      <c r="C209" s="73"/>
      <c r="D209" s="218"/>
      <c r="E209" s="113"/>
      <c r="F209" s="113"/>
      <c r="G209" s="113"/>
      <c r="H209" s="113"/>
      <c r="I209" s="113"/>
      <c r="J209" s="157"/>
      <c r="K209" s="137"/>
      <c r="L209" s="113"/>
      <c r="M209" s="113"/>
    </row>
    <row r="210" spans="8:8" customHeight="1">
      <c r="B210" s="73"/>
      <c r="C210" s="73"/>
      <c r="D210" s="218"/>
      <c r="E210" s="113"/>
      <c r="F210" s="113"/>
      <c r="G210" s="113"/>
      <c r="H210" s="113"/>
      <c r="I210" s="113"/>
      <c r="J210" s="157"/>
      <c r="K210" s="137"/>
      <c r="L210" s="113"/>
      <c r="M210" s="113"/>
    </row>
    <row r="211" spans="8:8" customHeight="1">
      <c r="B211" s="73"/>
      <c r="C211" s="73"/>
      <c r="D211" s="218"/>
      <c r="E211" s="113"/>
      <c r="F211" s="113"/>
      <c r="G211" s="113"/>
      <c r="H211" s="113"/>
      <c r="I211" s="113"/>
      <c r="J211" s="157"/>
      <c r="K211" s="137"/>
      <c r="L211" s="113"/>
      <c r="M211" s="113"/>
    </row>
    <row r="212" spans="8:8" customHeight="1">
      <c r="B212" s="73"/>
      <c r="C212" s="73"/>
      <c r="D212" s="218"/>
      <c r="E212" s="113"/>
      <c r="F212" s="113"/>
      <c r="G212" s="113"/>
      <c r="H212" s="113"/>
      <c r="I212" s="113"/>
      <c r="J212" s="157"/>
      <c r="K212" s="137"/>
      <c r="L212" s="113"/>
      <c r="M212" s="113"/>
    </row>
    <row r="213" spans="8:8" customHeight="1">
      <c r="B213" s="73"/>
      <c r="C213" s="73"/>
      <c r="D213" s="218"/>
      <c r="E213" s="113"/>
      <c r="F213" s="113"/>
      <c r="G213" s="113"/>
      <c r="H213" s="113"/>
      <c r="I213" s="113"/>
      <c r="J213" s="157"/>
      <c r="K213" s="137"/>
      <c r="L213" s="113"/>
      <c r="M213" s="113"/>
    </row>
    <row r="214" spans="8:8" customHeight="1">
      <c r="B214" s="73"/>
      <c r="C214" s="73"/>
      <c r="D214" s="218"/>
      <c r="E214" s="113"/>
      <c r="F214" s="113"/>
      <c r="G214" s="113"/>
      <c r="H214" s="113"/>
      <c r="I214" s="113"/>
      <c r="J214" s="157"/>
      <c r="K214" s="137"/>
      <c r="L214" s="113"/>
      <c r="M214" s="113"/>
    </row>
    <row r="215" spans="8:8" customHeight="1">
      <c r="B215" s="73"/>
      <c r="C215" s="73"/>
      <c r="D215" s="218"/>
      <c r="E215" s="113"/>
      <c r="F215" s="113"/>
      <c r="G215" s="113"/>
      <c r="H215" s="113"/>
      <c r="I215" s="113"/>
      <c r="J215" s="157"/>
      <c r="K215" s="137"/>
      <c r="L215" s="113"/>
      <c r="M215" s="113"/>
    </row>
    <row r="216" spans="8:8" customHeight="1">
      <c r="B216" s="73"/>
      <c r="C216" s="73"/>
      <c r="D216" s="218"/>
      <c r="E216" s="113"/>
      <c r="F216" s="113"/>
      <c r="G216" s="113"/>
      <c r="H216" s="113"/>
      <c r="I216" s="113"/>
      <c r="J216" s="157"/>
      <c r="K216" s="137"/>
      <c r="L216" s="113"/>
      <c r="M216" s="113"/>
    </row>
    <row r="217" spans="8:8" customHeight="1">
      <c r="B217" s="73"/>
      <c r="C217" s="73"/>
      <c r="D217" s="218"/>
      <c r="E217" s="113"/>
      <c r="F217" s="113"/>
      <c r="G217" s="113"/>
      <c r="H217" s="113"/>
      <c r="I217" s="113"/>
      <c r="J217" s="157"/>
      <c r="K217" s="137"/>
      <c r="L217" s="113"/>
      <c r="M217" s="113"/>
    </row>
    <row r="218" spans="8:8" customHeight="1">
      <c r="B218" s="73"/>
      <c r="C218" s="73"/>
      <c r="D218" s="218"/>
      <c r="E218" s="113"/>
      <c r="F218" s="113"/>
      <c r="G218" s="113"/>
      <c r="H218" s="113"/>
      <c r="I218" s="113"/>
      <c r="J218" s="157"/>
      <c r="K218" s="137"/>
      <c r="L218" s="113"/>
      <c r="M218" s="113"/>
    </row>
    <row r="219" spans="8:8" customHeight="1">
      <c r="B219" s="73"/>
      <c r="C219" s="73"/>
      <c r="D219" s="218"/>
      <c r="E219" s="113"/>
      <c r="F219" s="113"/>
      <c r="G219" s="113"/>
      <c r="H219" s="113"/>
      <c r="I219" s="113"/>
      <c r="J219" s="157"/>
      <c r="K219" s="137"/>
      <c r="L219" s="113"/>
      <c r="M219" s="113"/>
    </row>
    <row r="220" spans="8:8" customHeight="1">
      <c r="B220" s="73"/>
      <c r="C220" s="73"/>
      <c r="D220" s="218"/>
      <c r="E220" s="113"/>
      <c r="F220" s="113"/>
      <c r="G220" s="113"/>
      <c r="H220" s="113"/>
      <c r="I220" s="113"/>
      <c r="J220" s="157"/>
      <c r="K220" s="137"/>
      <c r="L220" s="113"/>
      <c r="M220" s="113"/>
    </row>
    <row r="221" spans="8:8" customHeight="1">
      <c r="B221" s="73"/>
      <c r="C221" s="73"/>
      <c r="D221" s="218"/>
      <c r="E221" s="113"/>
      <c r="F221" s="113"/>
      <c r="G221" s="113"/>
      <c r="H221" s="113"/>
      <c r="I221" s="113"/>
      <c r="J221" s="157"/>
      <c r="K221" s="137"/>
      <c r="L221" s="113"/>
      <c r="M221" s="113"/>
    </row>
    <row r="222" spans="8:8" customHeight="1">
      <c r="B222" s="73"/>
      <c r="C222" s="73"/>
      <c r="D222" s="218"/>
      <c r="E222" s="113"/>
      <c r="F222" s="113"/>
      <c r="G222" s="113"/>
      <c r="H222" s="113"/>
      <c r="I222" s="113"/>
      <c r="J222" s="157"/>
      <c r="K222" s="137"/>
      <c r="L222" s="113"/>
      <c r="M222" s="113"/>
    </row>
    <row r="223" spans="8:8" customHeight="1">
      <c r="B223" s="73"/>
      <c r="C223" s="73"/>
      <c r="D223" s="218"/>
      <c r="E223" s="113"/>
      <c r="F223" s="113"/>
      <c r="G223" s="113"/>
      <c r="H223" s="113"/>
      <c r="I223" s="113"/>
      <c r="J223" s="157"/>
      <c r="K223" s="137"/>
      <c r="L223" s="113"/>
      <c r="M223" s="113"/>
    </row>
    <row r="224" spans="8:8" customHeight="1">
      <c r="B224" s="73"/>
      <c r="C224" s="73"/>
      <c r="D224" s="218"/>
      <c r="E224" s="113"/>
      <c r="F224" s="113"/>
      <c r="G224" s="113"/>
      <c r="H224" s="113"/>
      <c r="I224" s="113"/>
      <c r="J224" s="157"/>
      <c r="K224" s="137"/>
      <c r="L224" s="113"/>
      <c r="M224" s="113"/>
    </row>
    <row r="225" spans="8:8" customHeight="1">
      <c r="B225" s="73"/>
      <c r="C225" s="73"/>
      <c r="D225" s="218"/>
      <c r="E225" s="113"/>
      <c r="F225" s="113"/>
      <c r="G225" s="113"/>
      <c r="H225" s="113"/>
      <c r="I225" s="113"/>
      <c r="J225" s="157"/>
      <c r="K225" s="137"/>
      <c r="L225" s="113"/>
      <c r="M225" s="113"/>
    </row>
    <row r="226" spans="8:8" customHeight="1">
      <c r="B226" s="73"/>
      <c r="C226" s="73"/>
      <c r="D226" s="218"/>
      <c r="E226" s="113"/>
      <c r="F226" s="113"/>
      <c r="G226" s="113"/>
      <c r="H226" s="113"/>
      <c r="I226" s="113"/>
      <c r="J226" s="157"/>
      <c r="K226" s="137"/>
      <c r="L226" s="113"/>
      <c r="M226" s="113"/>
    </row>
    <row r="227" spans="8:8" customHeight="1">
      <c r="B227" s="73"/>
      <c r="C227" s="73"/>
      <c r="D227" s="218"/>
      <c r="E227" s="113"/>
      <c r="F227" s="113"/>
      <c r="G227" s="113"/>
      <c r="H227" s="113"/>
      <c r="I227" s="113"/>
      <c r="J227" s="157"/>
      <c r="K227" s="137"/>
      <c r="L227" s="113"/>
      <c r="M227" s="113"/>
    </row>
    <row r="228" spans="8:8" customHeight="1">
      <c r="B228" s="73"/>
      <c r="C228" s="73"/>
      <c r="D228" s="218"/>
      <c r="E228" s="113"/>
      <c r="F228" s="113"/>
      <c r="G228" s="113"/>
      <c r="H228" s="113"/>
      <c r="I228" s="113"/>
      <c r="J228" s="157"/>
      <c r="K228" s="137"/>
      <c r="L228" s="113"/>
      <c r="M228" s="113"/>
    </row>
    <row r="229" spans="8:8" customHeight="1">
      <c r="B229" s="73"/>
      <c r="C229" s="73"/>
      <c r="D229" s="218"/>
      <c r="E229" s="113"/>
      <c r="F229" s="113"/>
      <c r="G229" s="113"/>
      <c r="H229" s="113"/>
      <c r="I229" s="113"/>
      <c r="J229" s="157"/>
      <c r="K229" s="137"/>
      <c r="L229" s="113"/>
      <c r="M229" s="113"/>
    </row>
    <row r="230" spans="8:8" customHeight="1">
      <c r="B230" s="73"/>
      <c r="C230" s="73"/>
      <c r="D230" s="218"/>
      <c r="E230" s="113"/>
      <c r="F230" s="113"/>
      <c r="G230" s="113"/>
      <c r="H230" s="113"/>
      <c r="I230" s="113"/>
      <c r="J230" s="157"/>
      <c r="K230" s="137"/>
      <c r="L230" s="113"/>
      <c r="M230" s="113"/>
    </row>
    <row r="231" spans="8:8" customHeight="1">
      <c r="B231" s="73"/>
      <c r="C231" s="73"/>
      <c r="D231" s="218"/>
      <c r="E231" s="113"/>
      <c r="F231" s="113"/>
      <c r="G231" s="113"/>
      <c r="H231" s="113"/>
      <c r="I231" s="113"/>
      <c r="J231" s="157"/>
      <c r="K231" s="137"/>
      <c r="L231" s="113"/>
      <c r="M231" s="113"/>
    </row>
    <row r="232" spans="8:8" customHeight="1">
      <c r="B232" s="73"/>
      <c r="C232" s="73"/>
      <c r="D232" s="218"/>
      <c r="E232" s="113"/>
      <c r="F232" s="113"/>
      <c r="G232" s="113"/>
      <c r="H232" s="113"/>
      <c r="I232" s="113"/>
      <c r="J232" s="157"/>
      <c r="K232" s="137"/>
      <c r="L232" s="113"/>
      <c r="M232" s="113"/>
    </row>
    <row r="233" spans="8:8" customHeight="1">
      <c r="B233" s="73"/>
      <c r="C233" s="73"/>
      <c r="D233" s="218"/>
      <c r="E233" s="113"/>
      <c r="F233" s="113"/>
      <c r="G233" s="113"/>
      <c r="H233" s="113"/>
      <c r="I233" s="113"/>
      <c r="J233" s="157"/>
      <c r="K233" s="137"/>
      <c r="L233" s="113"/>
      <c r="M233" s="113"/>
    </row>
    <row r="234" spans="8:8" customHeight="1">
      <c r="B234" s="73"/>
      <c r="C234" s="73"/>
      <c r="D234" s="218"/>
      <c r="E234" s="113"/>
      <c r="F234" s="113"/>
      <c r="G234" s="113"/>
      <c r="H234" s="113"/>
      <c r="I234" s="113"/>
      <c r="J234" s="157"/>
      <c r="K234" s="137"/>
      <c r="L234" s="113"/>
      <c r="M234" s="113"/>
    </row>
    <row r="235" spans="8:8" customHeight="1">
      <c r="B235" s="73"/>
      <c r="C235" s="73"/>
      <c r="D235" s="218"/>
      <c r="E235" s="113"/>
      <c r="F235" s="113"/>
      <c r="G235" s="113"/>
      <c r="H235" s="113"/>
      <c r="I235" s="113"/>
      <c r="J235" s="157"/>
      <c r="K235" s="137"/>
      <c r="L235" s="113"/>
      <c r="M235" s="113"/>
    </row>
    <row r="236" spans="8:8" customHeight="1">
      <c r="B236" s="73"/>
      <c r="C236" s="73"/>
      <c r="D236" s="218"/>
      <c r="E236" s="113"/>
      <c r="F236" s="113"/>
      <c r="G236" s="113"/>
      <c r="H236" s="113"/>
      <c r="I236" s="113"/>
      <c r="J236" s="157"/>
      <c r="K236" s="137"/>
      <c r="L236" s="113"/>
      <c r="M236" s="113"/>
    </row>
    <row r="237" spans="8:8" customHeight="1">
      <c r="B237" s="73"/>
      <c r="C237" s="73"/>
      <c r="D237" s="218"/>
      <c r="E237" s="113"/>
      <c r="F237" s="113"/>
      <c r="G237" s="113"/>
      <c r="H237" s="113"/>
      <c r="I237" s="113"/>
      <c r="J237" s="157"/>
      <c r="K237" s="137"/>
      <c r="L237" s="113"/>
      <c r="M237" s="113"/>
    </row>
    <row r="238" spans="8:8" customHeight="1">
      <c r="B238" s="73"/>
      <c r="C238" s="73"/>
      <c r="D238" s="218"/>
      <c r="E238" s="113"/>
      <c r="F238" s="113"/>
      <c r="G238" s="113"/>
      <c r="H238" s="113"/>
      <c r="I238" s="113"/>
      <c r="J238" s="157"/>
      <c r="K238" s="137"/>
      <c r="L238" s="113"/>
      <c r="M238" s="113"/>
    </row>
    <row r="239" spans="8:8" customHeight="1">
      <c r="B239" s="73"/>
      <c r="C239" s="73"/>
      <c r="D239" s="218"/>
      <c r="E239" s="113"/>
      <c r="F239" s="113"/>
      <c r="G239" s="113"/>
      <c r="H239" s="113"/>
      <c r="I239" s="113"/>
      <c r="J239" s="157"/>
      <c r="K239" s="137"/>
      <c r="L239" s="113"/>
      <c r="M239" s="113"/>
    </row>
    <row r="240" spans="8:8" customHeight="1">
      <c r="B240" s="73"/>
      <c r="C240" s="73"/>
      <c r="D240" s="218"/>
      <c r="E240" s="113"/>
      <c r="F240" s="113"/>
      <c r="G240" s="113"/>
      <c r="H240" s="113"/>
      <c r="I240" s="113"/>
      <c r="J240" s="157"/>
      <c r="K240" s="137"/>
      <c r="L240" s="113"/>
      <c r="M240" s="113"/>
    </row>
    <row r="241" spans="8:8" customHeight="1">
      <c r="B241" s="73"/>
      <c r="C241" s="73"/>
      <c r="D241" s="218"/>
      <c r="E241" s="113"/>
      <c r="F241" s="113"/>
      <c r="G241" s="113"/>
      <c r="H241" s="113"/>
      <c r="I241" s="113"/>
      <c r="J241" s="157"/>
      <c r="K241" s="137"/>
      <c r="L241" s="113"/>
      <c r="M241" s="113"/>
    </row>
    <row r="242" spans="8:8" customHeight="1">
      <c r="B242" s="73"/>
      <c r="C242" s="73"/>
      <c r="D242" s="218"/>
      <c r="E242" s="113"/>
      <c r="F242" s="113"/>
      <c r="G242" s="113"/>
      <c r="H242" s="113"/>
      <c r="I242" s="113"/>
      <c r="J242" s="157"/>
      <c r="K242" s="137"/>
      <c r="L242" s="113"/>
      <c r="M242" s="113"/>
    </row>
    <row r="243" spans="8:8" customHeight="1">
      <c r="B243" s="73"/>
      <c r="C243" s="73"/>
      <c r="D243" s="218"/>
      <c r="E243" s="113"/>
      <c r="F243" s="113"/>
      <c r="G243" s="113"/>
      <c r="H243" s="113"/>
      <c r="I243" s="113"/>
      <c r="J243" s="157"/>
      <c r="K243" s="137"/>
      <c r="L243" s="113"/>
      <c r="M243" s="113"/>
    </row>
    <row r="244" spans="8:8" customHeight="1">
      <c r="B244" s="73"/>
      <c r="C244" s="73"/>
      <c r="D244" s="218"/>
      <c r="E244" s="113"/>
      <c r="F244" s="113"/>
      <c r="G244" s="113"/>
      <c r="H244" s="113"/>
      <c r="I244" s="113"/>
      <c r="J244" s="157"/>
      <c r="K244" s="137"/>
      <c r="L244" s="113"/>
      <c r="M244" s="113"/>
    </row>
    <row r="245" spans="8:8" customHeight="1">
      <c r="B245" s="73"/>
      <c r="C245" s="73"/>
      <c r="D245" s="218"/>
      <c r="E245" s="113"/>
      <c r="F245" s="113"/>
      <c r="G245" s="113"/>
      <c r="H245" s="113"/>
      <c r="I245" s="113"/>
      <c r="J245" s="157"/>
      <c r="K245" s="137"/>
      <c r="L245" s="113"/>
      <c r="M245" s="113"/>
    </row>
    <row r="246" spans="8:8" customHeight="1">
      <c r="B246" s="73"/>
      <c r="C246" s="73"/>
      <c r="D246" s="218"/>
      <c r="E246" s="113"/>
      <c r="F246" s="113"/>
      <c r="G246" s="113"/>
      <c r="H246" s="113"/>
      <c r="I246" s="113"/>
      <c r="J246" s="157"/>
      <c r="K246" s="137"/>
      <c r="L246" s="113"/>
      <c r="M246" s="113"/>
    </row>
    <row r="247" spans="8:8" customHeight="1">
      <c r="B247" s="73"/>
      <c r="C247" s="73"/>
      <c r="D247" s="218"/>
      <c r="E247" s="113"/>
      <c r="F247" s="113"/>
      <c r="G247" s="113"/>
      <c r="H247" s="113"/>
      <c r="I247" s="113"/>
      <c r="J247" s="157"/>
      <c r="K247" s="137"/>
      <c r="L247" s="113"/>
      <c r="M247" s="113"/>
    </row>
    <row r="248" spans="8:8" customHeight="1">
      <c r="B248" s="73"/>
      <c r="C248" s="73"/>
      <c r="D248" s="218"/>
      <c r="E248" s="113"/>
      <c r="F248" s="113"/>
      <c r="G248" s="113"/>
      <c r="H248" s="113"/>
      <c r="I248" s="113"/>
      <c r="J248" s="157"/>
      <c r="K248" s="137"/>
      <c r="L248" s="113"/>
      <c r="M248" s="113"/>
    </row>
    <row r="249" spans="8:8" customHeight="1">
      <c r="B249" s="73"/>
      <c r="C249" s="73"/>
      <c r="D249" s="218"/>
      <c r="E249" s="113"/>
      <c r="F249" s="113"/>
      <c r="G249" s="113"/>
      <c r="H249" s="113"/>
      <c r="I249" s="113"/>
      <c r="J249" s="157"/>
      <c r="K249" s="137"/>
      <c r="L249" s="113"/>
      <c r="M249" s="113"/>
    </row>
    <row r="250" spans="8:8" customHeight="1">
      <c r="B250" s="73"/>
      <c r="C250" s="73"/>
      <c r="D250" s="218"/>
      <c r="E250" s="113"/>
      <c r="F250" s="113"/>
      <c r="G250" s="113"/>
      <c r="H250" s="113"/>
      <c r="I250" s="113"/>
      <c r="J250" s="157"/>
      <c r="K250" s="137"/>
      <c r="L250" s="113"/>
      <c r="M250" s="113"/>
    </row>
    <row r="251" spans="8:8" ht="15.75" customHeight="1"/>
    <row r="252" spans="8:8" ht="15.75" customHeight="1"/>
    <row r="253" spans="8:8" ht="15.75" customHeight="1"/>
    <row r="254" spans="8:8" ht="15.75" customHeight="1"/>
    <row r="255" spans="8:8" ht="15.75" customHeight="1"/>
    <row r="256" spans="8:8" ht="15.75" customHeight="1"/>
    <row r="257" spans="8:8" ht="15.75" customHeight="1"/>
    <row r="258" spans="8:8" ht="15.75" customHeight="1"/>
    <row r="259" spans="8:8" ht="15.75" customHeight="1"/>
    <row r="260" spans="8:8" ht="15.75" customHeight="1"/>
    <row r="261" spans="8:8" ht="15.75" customHeight="1"/>
    <row r="262" spans="8:8" ht="15.75" customHeight="1"/>
    <row r="263" spans="8:8" ht="15.75" customHeight="1"/>
    <row r="264" spans="8:8" ht="15.75" customHeight="1"/>
    <row r="265" spans="8:8" ht="15.75" customHeight="1"/>
    <row r="266" spans="8:8" ht="15.75" customHeight="1"/>
    <row r="267" spans="8:8" ht="15.75" customHeight="1"/>
    <row r="268" spans="8:8" ht="15.75" customHeight="1"/>
    <row r="269" spans="8:8" ht="15.75" customHeight="1"/>
    <row r="270" spans="8:8" ht="15.75" customHeight="1"/>
    <row r="271" spans="8:8" ht="15.75" customHeight="1"/>
    <row r="272" spans="8:8" ht="15.75" customHeight="1"/>
    <row r="273" spans="8:8" ht="15.75" customHeight="1"/>
    <row r="274" spans="8:8" ht="15.75" customHeight="1"/>
    <row r="275" spans="8:8" ht="15.75" customHeight="1"/>
    <row r="276" spans="8:8" ht="15.75" customHeight="1"/>
    <row r="277" spans="8:8" ht="15.75" customHeight="1"/>
    <row r="278" spans="8:8" ht="15.75" customHeight="1"/>
    <row r="279" spans="8:8" ht="15.75" customHeight="1"/>
    <row r="280" spans="8:8" ht="15.75" customHeight="1"/>
    <row r="281" spans="8:8" ht="15.75" customHeight="1"/>
    <row r="282" spans="8:8" ht="15.75" customHeight="1"/>
    <row r="283" spans="8:8" ht="15.75" customHeight="1"/>
    <row r="284" spans="8:8" ht="15.75" customHeight="1"/>
    <row r="285" spans="8:8" ht="15.75" customHeight="1"/>
    <row r="286" spans="8:8" ht="15.75" customHeight="1"/>
    <row r="287" spans="8:8" ht="15.75" customHeight="1"/>
    <row r="288" spans="8:8" ht="15.75" customHeight="1"/>
    <row r="289" spans="8:8" ht="15.75" customHeight="1"/>
    <row r="290" spans="8:8" ht="15.75" customHeight="1"/>
    <row r="291" spans="8:8" ht="15.75" customHeight="1"/>
    <row r="292" spans="8:8" ht="15.75" customHeight="1"/>
    <row r="293" spans="8:8" ht="15.75" customHeight="1"/>
    <row r="294" spans="8:8" ht="15.75" customHeight="1"/>
    <row r="295" spans="8:8" ht="15.75" customHeight="1"/>
    <row r="296" spans="8:8" ht="15.75" customHeight="1"/>
    <row r="297" spans="8:8" ht="15.75" customHeight="1"/>
    <row r="298" spans="8:8" ht="15.75" customHeight="1"/>
    <row r="299" spans="8:8" ht="15.75" customHeight="1"/>
    <row r="300" spans="8:8" ht="15.75" customHeight="1"/>
    <row r="301" spans="8:8" ht="15.75" customHeight="1"/>
    <row r="302" spans="8:8" ht="15.75" customHeight="1"/>
    <row r="303" spans="8:8" ht="15.75" customHeight="1"/>
    <row r="304" spans="8:8" ht="15.75" customHeight="1"/>
    <row r="305" spans="8:8" ht="15.75" customHeight="1"/>
    <row r="306" spans="8:8" ht="15.75" customHeight="1"/>
    <row r="307" spans="8:8" ht="15.75" customHeight="1"/>
    <row r="308" spans="8:8" ht="15.75" customHeight="1"/>
    <row r="309" spans="8:8" ht="15.75" customHeight="1"/>
    <row r="310" spans="8:8" ht="15.75" customHeight="1"/>
    <row r="311" spans="8:8" ht="15.75" customHeight="1"/>
    <row r="312" spans="8:8" ht="15.75" customHeight="1"/>
    <row r="313" spans="8:8" ht="15.75" customHeight="1"/>
    <row r="314" spans="8:8" ht="15.75" customHeight="1"/>
    <row r="315" spans="8:8" ht="15.75" customHeight="1"/>
    <row r="316" spans="8:8" ht="15.75" customHeight="1"/>
    <row r="317" spans="8:8" ht="15.75" customHeight="1"/>
    <row r="318" spans="8:8" ht="15.75" customHeight="1"/>
    <row r="319" spans="8:8" ht="15.75" customHeight="1"/>
    <row r="320" spans="8:8" ht="15.75" customHeight="1"/>
    <row r="321" spans="8:8" ht="15.75" customHeight="1"/>
    <row r="322" spans="8:8" ht="15.75" customHeight="1"/>
    <row r="323" spans="8:8" ht="15.75" customHeight="1"/>
    <row r="324" spans="8:8" ht="15.75" customHeight="1"/>
    <row r="325" spans="8:8" ht="15.75" customHeight="1"/>
    <row r="326" spans="8:8" ht="15.75" customHeight="1"/>
    <row r="327" spans="8:8" ht="15.75" customHeight="1"/>
    <row r="328" spans="8:8" ht="15.75" customHeight="1"/>
    <row r="329" spans="8:8" ht="15.75" customHeight="1"/>
    <row r="330" spans="8:8" ht="15.75" customHeight="1"/>
    <row r="331" spans="8:8" ht="15.75" customHeight="1"/>
    <row r="332" spans="8:8" ht="15.75" customHeight="1"/>
    <row r="333" spans="8:8" ht="15.75" customHeight="1"/>
    <row r="334" spans="8:8" ht="15.75" customHeight="1"/>
    <row r="335" spans="8:8" ht="15.75" customHeight="1"/>
    <row r="336" spans="8:8" ht="15.75" customHeight="1"/>
    <row r="337" spans="8:8" ht="15.75" customHeight="1"/>
    <row r="338" spans="8:8" ht="15.75" customHeight="1"/>
    <row r="339" spans="8:8" ht="15.75" customHeight="1"/>
    <row r="340" spans="8:8" ht="15.75" customHeight="1"/>
    <row r="341" spans="8:8" ht="15.75" customHeight="1"/>
    <row r="342" spans="8:8" ht="15.75" customHeight="1"/>
    <row r="343" spans="8:8" ht="15.75" customHeight="1"/>
    <row r="344" spans="8:8" ht="15.75" customHeight="1"/>
    <row r="345" spans="8:8" ht="15.75" customHeight="1"/>
    <row r="346" spans="8:8" ht="15.75" customHeight="1"/>
    <row r="347" spans="8:8" ht="15.75" customHeight="1"/>
    <row r="348" spans="8:8" ht="15.75" customHeight="1"/>
    <row r="349" spans="8:8" ht="15.75" customHeight="1"/>
    <row r="350" spans="8:8" ht="15.75" customHeight="1"/>
    <row r="351" spans="8:8" ht="15.75" customHeight="1"/>
    <row r="352" spans="8:8" ht="15.75" customHeight="1"/>
    <row r="353" spans="8:8" ht="15.75" customHeight="1"/>
    <row r="354" spans="8:8" ht="15.75" customHeight="1"/>
    <row r="355" spans="8:8" ht="15.75" customHeight="1"/>
    <row r="356" spans="8:8" ht="15.75" customHeight="1"/>
    <row r="357" spans="8:8" ht="15.75" customHeight="1"/>
    <row r="358" spans="8:8" ht="15.75" customHeight="1"/>
    <row r="359" spans="8:8" ht="15.75" customHeight="1"/>
    <row r="360" spans="8:8" ht="15.75" customHeight="1"/>
    <row r="361" spans="8:8" ht="15.75" customHeight="1"/>
    <row r="362" spans="8:8" ht="15.75" customHeight="1"/>
    <row r="363" spans="8:8" ht="15.75" customHeight="1"/>
    <row r="364" spans="8:8" ht="15.75" customHeight="1"/>
    <row r="365" spans="8:8" ht="15.75" customHeight="1"/>
    <row r="366" spans="8:8" ht="15.75" customHeight="1"/>
    <row r="367" spans="8:8" ht="15.75" customHeight="1"/>
    <row r="368" spans="8:8" ht="15.75" customHeight="1"/>
    <row r="369" spans="8:8" ht="15.75" customHeight="1"/>
    <row r="370" spans="8:8" ht="15.75" customHeight="1"/>
    <row r="371" spans="8:8" ht="15.75" customHeight="1"/>
    <row r="372" spans="8:8" ht="15.75" customHeight="1"/>
    <row r="373" spans="8:8" ht="15.75" customHeight="1"/>
    <row r="374" spans="8:8" ht="15.75" customHeight="1"/>
    <row r="375" spans="8:8" ht="15.75" customHeight="1"/>
    <row r="376" spans="8:8" ht="15.75" customHeight="1"/>
    <row r="377" spans="8:8" ht="15.75" customHeight="1"/>
    <row r="378" spans="8:8" ht="15.75" customHeight="1"/>
    <row r="379" spans="8:8" ht="15.75" customHeight="1"/>
    <row r="380" spans="8:8" ht="15.75" customHeight="1"/>
    <row r="381" spans="8:8" ht="15.75" customHeight="1"/>
    <row r="382" spans="8:8" ht="15.75" customHeight="1"/>
    <row r="383" spans="8:8" ht="15.75" customHeight="1"/>
    <row r="384" spans="8:8" ht="15.75" customHeight="1"/>
    <row r="385" spans="8:8" ht="15.75" customHeight="1"/>
    <row r="386" spans="8:8" ht="15.75" customHeight="1"/>
    <row r="387" spans="8:8" ht="15.75" customHeight="1"/>
    <row r="388" spans="8:8" ht="15.75" customHeight="1"/>
    <row r="389" spans="8:8" ht="15.75" customHeight="1"/>
    <row r="390" spans="8:8" ht="15.75" customHeight="1"/>
    <row r="391" spans="8:8" ht="15.75" customHeight="1"/>
    <row r="392" spans="8:8" ht="15.75" customHeight="1"/>
    <row r="393" spans="8:8" ht="15.75" customHeight="1"/>
    <row r="394" spans="8:8" ht="15.75" customHeight="1"/>
    <row r="395" spans="8:8" ht="15.75" customHeight="1"/>
    <row r="396" spans="8:8" ht="15.75" customHeight="1"/>
    <row r="397" spans="8:8" ht="15.75" customHeight="1"/>
    <row r="398" spans="8:8" ht="15.75" customHeight="1"/>
    <row r="399" spans="8:8" ht="15.75" customHeight="1"/>
    <row r="400" spans="8:8" ht="15.75" customHeight="1"/>
    <row r="401" spans="8:8" ht="15.75" customHeight="1"/>
    <row r="402" spans="8:8" ht="15.75" customHeight="1"/>
    <row r="403" spans="8:8" ht="15.75" customHeight="1"/>
    <row r="404" spans="8:8" ht="15.75" customHeight="1"/>
    <row r="405" spans="8:8" ht="15.75" customHeight="1"/>
    <row r="406" spans="8:8" ht="15.75" customHeight="1"/>
    <row r="407" spans="8:8" ht="15.75" customHeight="1"/>
    <row r="408" spans="8:8" ht="15.75" customHeight="1"/>
    <row r="409" spans="8:8" ht="15.75" customHeight="1"/>
    <row r="410" spans="8:8" ht="15.75" customHeight="1"/>
    <row r="411" spans="8:8" ht="15.75" customHeight="1"/>
    <row r="412" spans="8:8" ht="15.75" customHeight="1"/>
    <row r="413" spans="8:8" ht="15.75" customHeight="1"/>
    <row r="414" spans="8:8" ht="15.75" customHeight="1"/>
    <row r="415" spans="8:8" ht="15.75" customHeight="1"/>
    <row r="416" spans="8:8" ht="15.75" customHeight="1"/>
    <row r="417" spans="8:8" ht="15.75" customHeight="1"/>
    <row r="418" spans="8:8" ht="15.75" customHeight="1"/>
    <row r="419" spans="8:8" ht="15.75" customHeight="1"/>
    <row r="420" spans="8:8" ht="15.75" customHeight="1"/>
    <row r="421" spans="8:8" ht="15.75" customHeight="1"/>
    <row r="422" spans="8:8" ht="15.75" customHeight="1"/>
    <row r="423" spans="8:8" ht="15.75" customHeight="1"/>
    <row r="424" spans="8:8" ht="15.75" customHeight="1"/>
    <row r="425" spans="8:8" ht="15.75" customHeight="1"/>
    <row r="426" spans="8:8" ht="15.75" customHeight="1"/>
    <row r="427" spans="8:8" ht="15.75" customHeight="1"/>
    <row r="428" spans="8:8" ht="15.75" customHeight="1"/>
    <row r="429" spans="8:8" ht="15.75" customHeight="1"/>
    <row r="430" spans="8:8" ht="15.75" customHeight="1"/>
    <row r="431" spans="8:8" ht="15.75" customHeight="1"/>
    <row r="432" spans="8:8" ht="15.75" customHeight="1"/>
    <row r="433" spans="8:8" ht="15.75" customHeight="1"/>
    <row r="434" spans="8:8" ht="15.75" customHeight="1"/>
    <row r="435" spans="8:8" ht="15.75" customHeight="1"/>
    <row r="436" spans="8:8" ht="15.75" customHeight="1"/>
    <row r="437" spans="8:8" ht="15.75" customHeight="1"/>
    <row r="438" spans="8:8" ht="15.75" customHeight="1"/>
    <row r="439" spans="8:8" ht="15.75" customHeight="1"/>
    <row r="440" spans="8:8" ht="15.75" customHeight="1"/>
    <row r="441" spans="8:8" ht="15.75" customHeight="1"/>
    <row r="442" spans="8:8" ht="15.75" customHeight="1"/>
    <row r="443" spans="8:8" ht="15.75" customHeight="1"/>
    <row r="444" spans="8:8" ht="15.75" customHeight="1"/>
    <row r="445" spans="8:8" ht="15.75" customHeight="1"/>
    <row r="446" spans="8:8" ht="15.75" customHeight="1"/>
    <row r="447" spans="8:8" ht="15.75" customHeight="1"/>
    <row r="448" spans="8:8" ht="15.75" customHeight="1"/>
    <row r="449" spans="8:8" ht="15.75" customHeight="1"/>
    <row r="450" spans="8:8" ht="15.75" customHeight="1"/>
    <row r="451" spans="8:8" ht="15.75" customHeight="1"/>
    <row r="452" spans="8:8" ht="15.75" customHeight="1"/>
    <row r="453" spans="8:8" ht="15.75" customHeight="1"/>
    <row r="454" spans="8:8" ht="15.75" customHeight="1"/>
    <row r="455" spans="8:8" ht="15.75" customHeight="1"/>
    <row r="456" spans="8:8" ht="15.75" customHeight="1"/>
    <row r="457" spans="8:8" ht="15.75" customHeight="1"/>
    <row r="458" spans="8:8" ht="15.75" customHeight="1"/>
    <row r="459" spans="8:8" ht="15.75" customHeight="1"/>
    <row r="460" spans="8:8" ht="15.75" customHeight="1"/>
    <row r="461" spans="8:8" ht="15.75" customHeight="1"/>
    <row r="462" spans="8:8" ht="15.75" customHeight="1"/>
    <row r="463" spans="8:8" ht="15.75" customHeight="1"/>
    <row r="464" spans="8:8" ht="15.75" customHeight="1"/>
    <row r="465" spans="8:8" ht="15.75" customHeight="1"/>
    <row r="466" spans="8:8" ht="15.75" customHeight="1"/>
    <row r="467" spans="8:8" ht="15.75" customHeight="1"/>
    <row r="468" spans="8:8" ht="15.75" customHeight="1"/>
    <row r="469" spans="8:8" ht="15.75" customHeight="1"/>
    <row r="470" spans="8:8" ht="15.75" customHeight="1"/>
    <row r="471" spans="8:8" ht="15.75" customHeight="1"/>
    <row r="472" spans="8:8" ht="15.75" customHeight="1"/>
    <row r="473" spans="8:8" ht="15.75" customHeight="1"/>
    <row r="474" spans="8:8" ht="15.75" customHeight="1"/>
    <row r="475" spans="8:8" ht="15.75" customHeight="1"/>
    <row r="476" spans="8:8" ht="15.75" customHeight="1"/>
    <row r="477" spans="8:8" ht="15.75" customHeight="1"/>
    <row r="478" spans="8:8" ht="15.75" customHeight="1"/>
    <row r="479" spans="8:8" ht="15.75" customHeight="1"/>
    <row r="480" spans="8:8" ht="15.75" customHeight="1"/>
    <row r="481" spans="8:8" ht="15.75" customHeight="1"/>
    <row r="482" spans="8:8" ht="15.75" customHeight="1"/>
    <row r="483" spans="8:8" ht="15.75" customHeight="1"/>
    <row r="484" spans="8:8" ht="15.75" customHeight="1"/>
    <row r="485" spans="8:8" ht="15.75" customHeight="1"/>
    <row r="486" spans="8:8" ht="15.75" customHeight="1"/>
    <row r="487" spans="8:8" ht="15.75" customHeight="1"/>
    <row r="488" spans="8:8" ht="15.75" customHeight="1"/>
    <row r="489" spans="8:8" ht="15.75" customHeight="1"/>
    <row r="490" spans="8:8" ht="15.75" customHeight="1"/>
    <row r="491" spans="8:8" ht="15.75" customHeight="1"/>
    <row r="492" spans="8:8" ht="15.75" customHeight="1"/>
    <row r="493" spans="8:8" ht="15.75" customHeight="1"/>
    <row r="494" spans="8:8" ht="15.75" customHeight="1"/>
    <row r="495" spans="8:8" ht="15.75" customHeight="1"/>
    <row r="496" spans="8:8" ht="15.75" customHeight="1"/>
    <row r="497" spans="8:8" ht="15.75" customHeight="1"/>
    <row r="498" spans="8:8" ht="15.75" customHeight="1"/>
    <row r="499" spans="8:8" ht="15.75" customHeight="1"/>
    <row r="500" spans="8:8" ht="15.75" customHeight="1"/>
    <row r="501" spans="8:8" ht="15.75" customHeight="1"/>
    <row r="502" spans="8:8" ht="15.75" customHeight="1"/>
    <row r="503" spans="8:8" ht="15.75" customHeight="1"/>
    <row r="504" spans="8:8" ht="15.75" customHeight="1"/>
    <row r="505" spans="8:8" ht="15.75" customHeight="1"/>
    <row r="506" spans="8:8" ht="15.75" customHeight="1"/>
    <row r="507" spans="8:8" ht="15.75" customHeight="1"/>
    <row r="508" spans="8:8" ht="15.75" customHeight="1"/>
    <row r="509" spans="8:8" ht="15.75" customHeight="1"/>
    <row r="510" spans="8:8" ht="15.75" customHeight="1"/>
    <row r="511" spans="8:8" ht="15.75" customHeight="1"/>
    <row r="512" spans="8:8" ht="15.75" customHeight="1"/>
    <row r="513" spans="8:8" ht="15.75" customHeight="1"/>
    <row r="514" spans="8:8" ht="15.75" customHeight="1"/>
    <row r="515" spans="8:8" ht="15.75" customHeight="1"/>
    <row r="516" spans="8:8" ht="15.75" customHeight="1"/>
    <row r="517" spans="8:8" ht="15.75" customHeight="1"/>
    <row r="518" spans="8:8" ht="15.75" customHeight="1"/>
    <row r="519" spans="8:8" ht="15.75" customHeight="1"/>
    <row r="520" spans="8:8" ht="15.75" customHeight="1"/>
    <row r="521" spans="8:8" ht="15.75" customHeight="1"/>
    <row r="522" spans="8:8" ht="15.75" customHeight="1"/>
    <row r="523" spans="8:8" ht="15.75" customHeight="1"/>
    <row r="524" spans="8:8" ht="15.75" customHeight="1"/>
    <row r="525" spans="8:8" ht="15.75" customHeight="1"/>
    <row r="526" spans="8:8" ht="15.75" customHeight="1"/>
    <row r="527" spans="8:8" ht="15.75" customHeight="1"/>
    <row r="528" spans="8:8" ht="15.75" customHeight="1"/>
    <row r="529" spans="8:8" ht="15.75" customHeight="1"/>
    <row r="530" spans="8:8" ht="15.75" customHeight="1"/>
    <row r="531" spans="8:8" ht="15.75" customHeight="1"/>
    <row r="532" spans="8:8" ht="15.75" customHeight="1"/>
    <row r="533" spans="8:8" ht="15.75" customHeight="1"/>
    <row r="534" spans="8:8" ht="15.75" customHeight="1"/>
    <row r="535" spans="8:8" ht="15.75" customHeight="1"/>
    <row r="536" spans="8:8" ht="15.75" customHeight="1"/>
    <row r="537" spans="8:8" ht="15.75" customHeight="1"/>
    <row r="538" spans="8:8" ht="15.75" customHeight="1"/>
    <row r="539" spans="8:8" ht="15.75" customHeight="1"/>
    <row r="540" spans="8:8" ht="15.75" customHeight="1"/>
    <row r="541" spans="8:8" ht="15.75" customHeight="1"/>
    <row r="542" spans="8:8" ht="15.75" customHeight="1"/>
    <row r="543" spans="8:8" ht="15.75" customHeight="1"/>
    <row r="544" spans="8:8" ht="15.75" customHeight="1"/>
    <row r="545" spans="8:8" ht="15.75" customHeight="1"/>
    <row r="546" spans="8:8" ht="15.75" customHeight="1"/>
    <row r="547" spans="8:8" ht="15.75" customHeight="1"/>
    <row r="548" spans="8:8" ht="15.75" customHeight="1"/>
    <row r="549" spans="8:8" ht="15.75" customHeight="1"/>
    <row r="550" spans="8:8" ht="15.75" customHeight="1"/>
    <row r="551" spans="8:8" ht="15.75" customHeight="1"/>
    <row r="552" spans="8:8" ht="15.75" customHeight="1"/>
    <row r="553" spans="8:8" ht="15.75" customHeight="1"/>
    <row r="554" spans="8:8" ht="15.75" customHeight="1"/>
    <row r="555" spans="8:8" ht="15.75" customHeight="1"/>
    <row r="556" spans="8:8" ht="15.75" customHeight="1"/>
    <row r="557" spans="8:8" ht="15.75" customHeight="1"/>
    <row r="558" spans="8:8" ht="15.75" customHeight="1"/>
    <row r="559" spans="8:8" ht="15.75" customHeight="1"/>
    <row r="560" spans="8:8" ht="15.75" customHeight="1"/>
    <row r="561" spans="8:8" ht="15.75" customHeight="1"/>
    <row r="562" spans="8:8" ht="15.75" customHeight="1"/>
    <row r="563" spans="8:8" ht="15.75" customHeight="1"/>
    <row r="564" spans="8:8" ht="15.75" customHeight="1"/>
    <row r="565" spans="8:8" ht="15.75" customHeight="1"/>
    <row r="566" spans="8:8" ht="15.75" customHeight="1"/>
    <row r="567" spans="8:8" ht="15.75" customHeight="1"/>
    <row r="568" spans="8:8" ht="15.75" customHeight="1"/>
    <row r="569" spans="8:8" ht="15.75" customHeight="1"/>
    <row r="570" spans="8:8" ht="15.75" customHeight="1"/>
    <row r="571" spans="8:8" ht="15.75" customHeight="1"/>
    <row r="572" spans="8:8" ht="15.75" customHeight="1"/>
    <row r="573" spans="8:8" ht="15.75" customHeight="1"/>
    <row r="574" spans="8:8" ht="15.75" customHeight="1"/>
    <row r="575" spans="8:8" ht="15.75" customHeight="1"/>
    <row r="576" spans="8:8" ht="15.75" customHeight="1"/>
    <row r="577" spans="8:8" ht="15.75" customHeight="1"/>
    <row r="578" spans="8:8" ht="15.75" customHeight="1"/>
    <row r="579" spans="8:8" ht="15.75" customHeight="1"/>
    <row r="580" spans="8:8" ht="15.75" customHeight="1"/>
    <row r="581" spans="8:8" ht="15.75" customHeight="1"/>
    <row r="582" spans="8:8" ht="15.75" customHeight="1"/>
    <row r="583" spans="8:8" ht="15.75" customHeight="1"/>
    <row r="584" spans="8:8" ht="15.75" customHeight="1"/>
    <row r="585" spans="8:8" ht="15.75" customHeight="1"/>
    <row r="586" spans="8:8" ht="15.75" customHeight="1"/>
    <row r="587" spans="8:8" ht="15.75" customHeight="1"/>
    <row r="588" spans="8:8" ht="15.75" customHeight="1"/>
    <row r="589" spans="8:8" ht="15.75" customHeight="1"/>
    <row r="590" spans="8:8" ht="15.75" customHeight="1"/>
    <row r="591" spans="8:8" ht="15.75" customHeight="1"/>
    <row r="592" spans="8:8" ht="15.75" customHeight="1"/>
    <row r="593" spans="8:8" ht="15.75" customHeight="1"/>
    <row r="594" spans="8:8" ht="15.75" customHeight="1"/>
    <row r="595" spans="8:8" ht="15.75" customHeight="1"/>
    <row r="596" spans="8:8" ht="15.75" customHeight="1"/>
    <row r="597" spans="8:8" ht="15.75" customHeight="1"/>
    <row r="598" spans="8:8" ht="15.75" customHeight="1"/>
    <row r="599" spans="8:8" ht="15.75" customHeight="1"/>
    <row r="600" spans="8:8" ht="15.75" customHeight="1"/>
    <row r="601" spans="8:8" ht="15.75" customHeight="1"/>
    <row r="602" spans="8:8" ht="15.75" customHeight="1"/>
    <row r="603" spans="8:8" ht="15.75" customHeight="1"/>
    <row r="604" spans="8:8" ht="15.75" customHeight="1"/>
    <row r="605" spans="8:8" ht="15.75" customHeight="1"/>
    <row r="606" spans="8:8" ht="15.75" customHeight="1"/>
    <row r="607" spans="8:8" ht="15.75" customHeight="1"/>
    <row r="608" spans="8:8" ht="15.75" customHeight="1"/>
    <row r="609" spans="8:8" ht="15.75" customHeight="1"/>
    <row r="610" spans="8:8" ht="15.75" customHeight="1"/>
    <row r="611" spans="8:8" ht="15.75" customHeight="1"/>
    <row r="612" spans="8:8" ht="15.75" customHeight="1"/>
    <row r="613" spans="8:8" ht="15.75" customHeight="1"/>
    <row r="614" spans="8:8" ht="15.75" customHeight="1"/>
    <row r="615" spans="8:8" ht="15.75" customHeight="1"/>
    <row r="616" spans="8:8" ht="15.75" customHeight="1"/>
    <row r="617" spans="8:8" ht="15.75" customHeight="1"/>
    <row r="618" spans="8:8" ht="15.75" customHeight="1"/>
    <row r="619" spans="8:8" ht="15.75" customHeight="1"/>
    <row r="620" spans="8:8" ht="15.75" customHeight="1"/>
    <row r="621" spans="8:8" ht="15.75" customHeight="1"/>
    <row r="622" spans="8:8" ht="15.75" customHeight="1"/>
    <row r="623" spans="8:8" ht="15.75" customHeight="1"/>
    <row r="624" spans="8:8" ht="15.75" customHeight="1"/>
    <row r="625" spans="8:8" ht="15.75" customHeight="1"/>
    <row r="626" spans="8:8" ht="15.75" customHeight="1"/>
    <row r="627" spans="8:8" ht="15.75" customHeight="1"/>
    <row r="628" spans="8:8" ht="15.75" customHeight="1"/>
    <row r="629" spans="8:8" ht="15.75" customHeight="1"/>
    <row r="630" spans="8:8" ht="15.75" customHeight="1"/>
    <row r="631" spans="8:8" ht="15.75" customHeight="1"/>
    <row r="632" spans="8:8" ht="15.75" customHeight="1"/>
    <row r="633" spans="8:8" ht="15.75" customHeight="1"/>
    <row r="634" spans="8:8" ht="15.75" customHeight="1"/>
    <row r="635" spans="8:8" ht="15.75" customHeight="1"/>
    <row r="636" spans="8:8" ht="15.75" customHeight="1"/>
    <row r="637" spans="8:8" ht="15.75" customHeight="1"/>
    <row r="638" spans="8:8" ht="15.75" customHeight="1"/>
    <row r="639" spans="8:8" ht="15.75" customHeight="1"/>
    <row r="640" spans="8:8" ht="15.75" customHeight="1"/>
    <row r="641" spans="8:8" ht="15.75" customHeight="1"/>
    <row r="642" spans="8:8" ht="15.75" customHeight="1"/>
    <row r="643" spans="8:8" ht="15.75" customHeight="1"/>
    <row r="644" spans="8:8" ht="15.75" customHeight="1"/>
    <row r="645" spans="8:8" ht="15.75" customHeight="1"/>
    <row r="646" spans="8:8" ht="15.75" customHeight="1"/>
    <row r="647" spans="8:8" ht="15.75" customHeight="1"/>
    <row r="648" spans="8:8" ht="15.75" customHeight="1"/>
    <row r="649" spans="8:8" ht="15.75" customHeight="1"/>
    <row r="650" spans="8:8" ht="15.75" customHeight="1"/>
    <row r="651" spans="8:8" ht="15.75" customHeight="1"/>
    <row r="652" spans="8:8" ht="15.75" customHeight="1"/>
    <row r="653" spans="8:8" ht="15.75" customHeight="1"/>
    <row r="654" spans="8:8" ht="15.75" customHeight="1"/>
    <row r="655" spans="8:8" ht="15.75" customHeight="1"/>
    <row r="656" spans="8:8" ht="15.75" customHeight="1"/>
    <row r="657" spans="8:8" ht="15.75" customHeight="1"/>
    <row r="658" spans="8:8" ht="15.75" customHeight="1"/>
    <row r="659" spans="8:8" ht="15.75" customHeight="1"/>
    <row r="660" spans="8:8" ht="15.75" customHeight="1"/>
    <row r="661" spans="8:8" ht="15.75" customHeight="1"/>
    <row r="662" spans="8:8" ht="15.75" customHeight="1"/>
    <row r="663" spans="8:8" ht="15.75" customHeight="1"/>
    <row r="664" spans="8:8" ht="15.75" customHeight="1"/>
    <row r="665" spans="8:8" ht="15.75" customHeight="1"/>
    <row r="666" spans="8:8" ht="15.75" customHeight="1"/>
    <row r="667" spans="8:8" ht="15.75" customHeight="1"/>
    <row r="668" spans="8:8" ht="15.75" customHeight="1"/>
    <row r="669" spans="8:8" ht="15.75" customHeight="1"/>
    <row r="670" spans="8:8" ht="15.75" customHeight="1"/>
    <row r="671" spans="8:8" ht="15.75" customHeight="1"/>
    <row r="672" spans="8:8" ht="15.75" customHeight="1"/>
    <row r="673" spans="8:8" ht="15.75" customHeight="1"/>
    <row r="674" spans="8:8" ht="15.75" customHeight="1"/>
    <row r="675" spans="8:8" ht="15.75" customHeight="1"/>
    <row r="676" spans="8:8" ht="15.75" customHeight="1"/>
    <row r="677" spans="8:8" ht="15.75" customHeight="1"/>
    <row r="678" spans="8:8" ht="15.75" customHeight="1"/>
    <row r="679" spans="8:8" ht="15.75" customHeight="1"/>
    <row r="680" spans="8:8" ht="15.75" customHeight="1"/>
    <row r="681" spans="8:8" ht="15.75" customHeight="1"/>
    <row r="682" spans="8:8" ht="15.75" customHeight="1"/>
    <row r="683" spans="8:8" ht="15.75" customHeight="1"/>
    <row r="684" spans="8:8" ht="15.75" customHeight="1"/>
    <row r="685" spans="8:8" ht="15.75" customHeight="1"/>
    <row r="686" spans="8:8" ht="15.75" customHeight="1"/>
    <row r="687" spans="8:8" ht="15.75" customHeight="1"/>
    <row r="688" spans="8:8" ht="15.75" customHeight="1"/>
    <row r="689" spans="8:8" ht="15.75" customHeight="1"/>
    <row r="690" spans="8:8" ht="15.75" customHeight="1"/>
    <row r="691" spans="8:8" ht="15.75" customHeight="1"/>
    <row r="692" spans="8:8" ht="15.75" customHeight="1"/>
    <row r="693" spans="8:8" ht="15.75" customHeight="1"/>
    <row r="694" spans="8:8" ht="15.75" customHeight="1"/>
    <row r="695" spans="8:8" ht="15.75" customHeight="1"/>
    <row r="696" spans="8:8" ht="15.75" customHeight="1"/>
    <row r="697" spans="8:8" ht="15.75" customHeight="1"/>
    <row r="698" spans="8:8" ht="15.75" customHeight="1"/>
    <row r="699" spans="8:8" ht="15.75" customHeight="1"/>
    <row r="700" spans="8:8" ht="15.75" customHeight="1"/>
    <row r="701" spans="8:8" ht="15.75" customHeight="1"/>
    <row r="702" spans="8:8" ht="15.75" customHeight="1"/>
    <row r="703" spans="8:8" ht="15.75" customHeight="1"/>
    <row r="704" spans="8:8" ht="15.75" customHeight="1"/>
    <row r="705" spans="8:8" ht="15.75" customHeight="1"/>
    <row r="706" spans="8:8" ht="15.75" customHeight="1"/>
    <row r="707" spans="8:8" ht="15.75" customHeight="1"/>
    <row r="708" spans="8:8" ht="15.75" customHeight="1"/>
    <row r="709" spans="8:8" ht="15.75" customHeight="1"/>
    <row r="710" spans="8:8" ht="15.75" customHeight="1"/>
    <row r="711" spans="8:8" ht="15.75" customHeight="1"/>
    <row r="712" spans="8:8" ht="15.75" customHeight="1"/>
    <row r="713" spans="8:8" ht="15.75" customHeight="1"/>
    <row r="714" spans="8:8" ht="15.75" customHeight="1"/>
    <row r="715" spans="8:8" ht="15.75" customHeight="1"/>
    <row r="716" spans="8:8" ht="15.75" customHeight="1"/>
    <row r="717" spans="8:8" ht="15.75" customHeight="1"/>
    <row r="718" spans="8:8" ht="15.75" customHeight="1"/>
    <row r="719" spans="8:8" ht="15.75" customHeight="1"/>
    <row r="720" spans="8:8" ht="15.75" customHeight="1"/>
    <row r="721" spans="8:8" ht="15.75" customHeight="1"/>
    <row r="722" spans="8:8" ht="15.75" customHeight="1"/>
    <row r="723" spans="8:8" ht="15.75" customHeight="1"/>
    <row r="724" spans="8:8" ht="15.75" customHeight="1"/>
    <row r="725" spans="8:8" ht="15.75" customHeight="1"/>
    <row r="726" spans="8:8" ht="15.75" customHeight="1"/>
    <row r="727" spans="8:8" ht="15.75" customHeight="1"/>
    <row r="728" spans="8:8" ht="15.75" customHeight="1"/>
    <row r="729" spans="8:8" ht="15.75" customHeight="1"/>
    <row r="730" spans="8:8" ht="15.75" customHeight="1"/>
    <row r="731" spans="8:8" ht="15.75" customHeight="1"/>
    <row r="732" spans="8:8" ht="15.75" customHeight="1"/>
    <row r="733" spans="8:8" ht="15.75" customHeight="1"/>
    <row r="734" spans="8:8" ht="15.75" customHeight="1"/>
    <row r="735" spans="8:8" ht="15.75" customHeight="1"/>
    <row r="736" spans="8:8" ht="15.75" customHeight="1"/>
    <row r="737" spans="8:8" ht="15.75" customHeight="1"/>
    <row r="738" spans="8:8" ht="15.75" customHeight="1"/>
    <row r="739" spans="8:8" ht="15.75" customHeight="1"/>
    <row r="740" spans="8:8" ht="15.75" customHeight="1"/>
    <row r="741" spans="8:8" ht="15.75" customHeight="1"/>
    <row r="742" spans="8:8" ht="15.75" customHeight="1"/>
    <row r="743" spans="8:8" ht="15.75" customHeight="1"/>
    <row r="744" spans="8:8" ht="15.75" customHeight="1"/>
    <row r="745" spans="8:8" ht="15.75" customHeight="1"/>
    <row r="746" spans="8:8" ht="15.75" customHeight="1"/>
    <row r="747" spans="8:8" ht="15.75" customHeight="1"/>
    <row r="748" spans="8:8" ht="15.75" customHeight="1"/>
    <row r="749" spans="8:8" ht="15.75" customHeight="1"/>
    <row r="750" spans="8:8" ht="15.75" customHeight="1"/>
    <row r="751" spans="8:8" ht="15.75" customHeight="1"/>
    <row r="752" spans="8:8" ht="15.75" customHeight="1"/>
    <row r="753" spans="8:8" ht="15.75" customHeight="1"/>
    <row r="754" spans="8:8" ht="15.75" customHeight="1"/>
    <row r="755" spans="8:8" ht="15.75" customHeight="1"/>
    <row r="756" spans="8:8" ht="15.75" customHeight="1"/>
    <row r="757" spans="8:8" ht="15.75" customHeight="1"/>
    <row r="758" spans="8:8" ht="15.75" customHeight="1"/>
    <row r="759" spans="8:8" ht="15.75" customHeight="1"/>
    <row r="760" spans="8:8" ht="15.75" customHeight="1"/>
    <row r="761" spans="8:8" ht="15.75" customHeight="1"/>
    <row r="762" spans="8:8" ht="15.75" customHeight="1"/>
    <row r="763" spans="8:8" ht="15.75" customHeight="1"/>
    <row r="764" spans="8:8" ht="15.75" customHeight="1"/>
    <row r="765" spans="8:8" ht="15.75" customHeight="1"/>
    <row r="766" spans="8:8" ht="15.75" customHeight="1"/>
    <row r="767" spans="8:8" ht="15.75" customHeight="1"/>
    <row r="768" spans="8:8" ht="15.75" customHeight="1"/>
    <row r="769" spans="8:8" ht="15.75" customHeight="1"/>
    <row r="770" spans="8:8" ht="15.75" customHeight="1"/>
    <row r="771" spans="8:8" ht="15.75" customHeight="1"/>
    <row r="772" spans="8:8" ht="15.75" customHeight="1"/>
    <row r="773" spans="8:8" ht="15.75" customHeight="1"/>
    <row r="774" spans="8:8" ht="15.75" customHeight="1"/>
    <row r="775" spans="8:8" ht="15.75" customHeight="1"/>
    <row r="776" spans="8:8" ht="15.75" customHeight="1"/>
    <row r="777" spans="8:8" ht="15.75" customHeight="1"/>
    <row r="778" spans="8:8" ht="15.75" customHeight="1"/>
    <row r="779" spans="8:8" ht="15.75" customHeight="1"/>
    <row r="780" spans="8:8" ht="15.75" customHeight="1"/>
    <row r="781" spans="8:8" ht="15.75" customHeight="1"/>
    <row r="782" spans="8:8" ht="15.75" customHeight="1"/>
    <row r="783" spans="8:8" ht="15.75" customHeight="1"/>
    <row r="784" spans="8:8" ht="15.75" customHeight="1"/>
    <row r="785" spans="8:8" ht="15.75" customHeight="1"/>
    <row r="786" spans="8:8" ht="15.75" customHeight="1"/>
    <row r="787" spans="8:8" ht="15.75" customHeight="1"/>
    <row r="788" spans="8:8" ht="15.75" customHeight="1"/>
    <row r="789" spans="8:8" ht="15.75" customHeight="1"/>
    <row r="790" spans="8:8" ht="15.75" customHeight="1"/>
    <row r="791" spans="8:8" ht="15.75" customHeight="1"/>
    <row r="792" spans="8:8" ht="15.75" customHeight="1"/>
    <row r="793" spans="8:8" ht="15.75" customHeight="1"/>
    <row r="794" spans="8:8" ht="15.75" customHeight="1"/>
    <row r="795" spans="8:8" ht="15.75" customHeight="1"/>
    <row r="796" spans="8:8" ht="15.75" customHeight="1"/>
    <row r="797" spans="8:8" ht="15.75" customHeight="1"/>
    <row r="798" spans="8:8" ht="15.75" customHeight="1"/>
    <row r="799" spans="8:8" ht="15.75" customHeight="1"/>
    <row r="800" spans="8:8" ht="15.75" customHeight="1"/>
    <row r="801" spans="8:8" ht="15.75" customHeight="1"/>
    <row r="802" spans="8:8" ht="15.75" customHeight="1"/>
    <row r="803" spans="8:8" ht="15.75" customHeight="1"/>
    <row r="804" spans="8:8" ht="15.75" customHeight="1"/>
    <row r="805" spans="8:8" ht="15.75" customHeight="1"/>
    <row r="806" spans="8:8" ht="15.75" customHeight="1"/>
    <row r="807" spans="8:8" ht="15.75" customHeight="1"/>
    <row r="808" spans="8:8" ht="15.75" customHeight="1"/>
    <row r="809" spans="8:8" ht="15.75" customHeight="1"/>
    <row r="810" spans="8:8" ht="15.75" customHeight="1"/>
    <row r="811" spans="8:8" ht="15.75" customHeight="1"/>
    <row r="812" spans="8:8" ht="15.75" customHeight="1"/>
    <row r="813" spans="8:8" ht="15.75" customHeight="1"/>
    <row r="814" spans="8:8" ht="15.75" customHeight="1"/>
    <row r="815" spans="8:8" ht="15.75" customHeight="1"/>
    <row r="816" spans="8:8" ht="15.75" customHeight="1"/>
    <row r="817" spans="8:8" ht="15.75" customHeight="1"/>
    <row r="818" spans="8:8" ht="15.75" customHeight="1"/>
    <row r="819" spans="8:8" ht="15.75" customHeight="1"/>
    <row r="820" spans="8:8" ht="15.75" customHeight="1"/>
    <row r="821" spans="8:8" ht="15.75" customHeight="1"/>
    <row r="822" spans="8:8" ht="15.75" customHeight="1"/>
    <row r="823" spans="8:8" ht="15.75" customHeight="1"/>
    <row r="824" spans="8:8" ht="15.75" customHeight="1"/>
    <row r="825" spans="8:8" ht="15.75" customHeight="1"/>
    <row r="826" spans="8:8" ht="15.75" customHeight="1"/>
    <row r="827" spans="8:8" ht="15.75" customHeight="1"/>
    <row r="828" spans="8:8" ht="15.75" customHeight="1"/>
    <row r="829" spans="8:8" ht="15.75" customHeight="1"/>
    <row r="830" spans="8:8" ht="15.75" customHeight="1"/>
    <row r="831" spans="8:8" ht="15.75" customHeight="1"/>
    <row r="832" spans="8:8" ht="15.75" customHeight="1"/>
    <row r="833" spans="8:8" ht="15.75" customHeight="1"/>
    <row r="834" spans="8:8" ht="15.75" customHeight="1"/>
    <row r="835" spans="8:8" ht="15.75" customHeight="1"/>
    <row r="836" spans="8:8" ht="15.75" customHeight="1"/>
    <row r="837" spans="8:8" ht="15.75" customHeight="1"/>
    <row r="838" spans="8:8" ht="15.75" customHeight="1"/>
    <row r="839" spans="8:8" ht="15.75" customHeight="1"/>
    <row r="840" spans="8:8" ht="15.75" customHeight="1"/>
    <row r="841" spans="8:8" ht="15.75" customHeight="1"/>
    <row r="842" spans="8:8" ht="15.75" customHeight="1"/>
    <row r="843" spans="8:8" ht="15.75" customHeight="1"/>
    <row r="844" spans="8:8" ht="15.75" customHeight="1"/>
    <row r="845" spans="8:8" ht="15.75" customHeight="1"/>
    <row r="846" spans="8:8" ht="15.75" customHeight="1"/>
    <row r="847" spans="8:8" ht="15.75" customHeight="1"/>
    <row r="848" spans="8:8" ht="15.75" customHeight="1"/>
    <row r="849" spans="8:8" ht="15.75" customHeight="1"/>
    <row r="850" spans="8:8" ht="15.75" customHeight="1"/>
    <row r="851" spans="8:8" ht="15.75" customHeight="1"/>
    <row r="852" spans="8:8" ht="15.75" customHeight="1"/>
    <row r="853" spans="8:8" ht="15.75" customHeight="1"/>
    <row r="854" spans="8:8" ht="15.75" customHeight="1"/>
    <row r="855" spans="8:8" ht="15.75" customHeight="1"/>
    <row r="856" spans="8:8" ht="15.75" customHeight="1"/>
    <row r="857" spans="8:8" ht="15.75" customHeight="1"/>
    <row r="858" spans="8:8" ht="15.75" customHeight="1"/>
    <row r="859" spans="8:8" ht="15.75" customHeight="1"/>
    <row r="860" spans="8:8" ht="15.75" customHeight="1"/>
    <row r="861" spans="8:8" ht="15.75" customHeight="1"/>
    <row r="862" spans="8:8" ht="15.75" customHeight="1"/>
    <row r="863" spans="8:8" ht="15.75" customHeight="1"/>
    <row r="864" spans="8:8" ht="15.75" customHeight="1"/>
    <row r="865" spans="8:8" ht="15.75" customHeight="1"/>
    <row r="866" spans="8:8" ht="15.75" customHeight="1"/>
    <row r="867" spans="8:8" ht="15.75" customHeight="1"/>
    <row r="868" spans="8:8" ht="15.75" customHeight="1"/>
    <row r="869" spans="8:8" ht="15.75" customHeight="1"/>
    <row r="870" spans="8:8" ht="15.75" customHeight="1"/>
    <row r="871" spans="8:8" ht="15.75" customHeight="1"/>
    <row r="872" spans="8:8" ht="15.75" customHeight="1"/>
    <row r="873" spans="8:8" ht="15.75" customHeight="1"/>
    <row r="874" spans="8:8" ht="15.75" customHeight="1"/>
    <row r="875" spans="8:8" ht="15.75" customHeight="1"/>
    <row r="876" spans="8:8" ht="15.75" customHeight="1"/>
    <row r="877" spans="8:8" ht="15.75" customHeight="1"/>
    <row r="878" spans="8:8" ht="15.75" customHeight="1"/>
    <row r="879" spans="8:8" ht="15.75" customHeight="1"/>
    <row r="880" spans="8:8" ht="15.75" customHeight="1"/>
    <row r="881" spans="8:8" ht="15.75" customHeight="1"/>
    <row r="882" spans="8:8" ht="15.75" customHeight="1"/>
    <row r="883" spans="8:8" ht="15.75" customHeight="1"/>
    <row r="884" spans="8:8" ht="15.75" customHeight="1"/>
    <row r="885" spans="8:8" ht="15.75" customHeight="1"/>
    <row r="886" spans="8:8" ht="15.75" customHeight="1"/>
    <row r="887" spans="8:8" ht="15.75" customHeight="1"/>
    <row r="888" spans="8:8" ht="15.75" customHeight="1"/>
    <row r="889" spans="8:8" ht="15.75" customHeight="1"/>
    <row r="890" spans="8:8" ht="15.75" customHeight="1"/>
    <row r="891" spans="8:8" ht="15.75" customHeight="1"/>
    <row r="892" spans="8:8" ht="15.75" customHeight="1"/>
    <row r="893" spans="8:8" ht="15.75" customHeight="1"/>
    <row r="894" spans="8:8" ht="15.75" customHeight="1"/>
    <row r="895" spans="8:8" ht="15.75" customHeight="1"/>
    <row r="896" spans="8:8" ht="15.75" customHeight="1"/>
    <row r="897" spans="8:8" ht="15.75" customHeight="1"/>
    <row r="898" spans="8:8" ht="15.75" customHeight="1"/>
    <row r="899" spans="8:8" ht="15.75" customHeight="1"/>
    <row r="900" spans="8:8" ht="15.75" customHeight="1"/>
    <row r="901" spans="8:8" ht="15.75" customHeight="1"/>
    <row r="902" spans="8:8" ht="15.75" customHeight="1"/>
    <row r="903" spans="8:8" ht="15.75" customHeight="1"/>
    <row r="904" spans="8:8" ht="15.75" customHeight="1"/>
    <row r="905" spans="8:8" ht="15.75" customHeight="1"/>
    <row r="906" spans="8:8" ht="15.75" customHeight="1"/>
    <row r="907" spans="8:8" ht="15.75" customHeight="1"/>
    <row r="908" spans="8:8" ht="15.75" customHeight="1"/>
    <row r="909" spans="8:8" ht="15.75" customHeight="1"/>
    <row r="910" spans="8:8" ht="15.75" customHeight="1"/>
    <row r="911" spans="8:8" ht="15.75" customHeight="1"/>
    <row r="912" spans="8:8" ht="15.75" customHeight="1"/>
    <row r="913" spans="8:8" ht="15.75" customHeight="1"/>
    <row r="914" spans="8:8" ht="15.75" customHeight="1"/>
    <row r="915" spans="8:8" ht="15.75" customHeight="1"/>
    <row r="916" spans="8:8" ht="15.75" customHeight="1"/>
    <row r="917" spans="8:8" ht="15.75" customHeight="1"/>
    <row r="918" spans="8:8" ht="15.75" customHeight="1"/>
    <row r="919" spans="8:8" ht="15.75" customHeight="1"/>
    <row r="920" spans="8:8" ht="15.75" customHeight="1"/>
    <row r="921" spans="8:8" ht="15.75" customHeight="1"/>
    <row r="922" spans="8:8" ht="15.75" customHeight="1"/>
    <row r="923" spans="8:8" ht="15.75" customHeight="1"/>
    <row r="924" spans="8:8" ht="15.75" customHeight="1"/>
    <row r="925" spans="8:8" ht="15.75" customHeight="1"/>
    <row r="926" spans="8:8" ht="15.75" customHeight="1"/>
    <row r="927" spans="8:8" ht="15.75" customHeight="1"/>
    <row r="928" spans="8:8" ht="15.75" customHeight="1"/>
    <row r="929" spans="8:8" ht="15.75" customHeight="1"/>
    <row r="930" spans="8:8" ht="15.75" customHeight="1"/>
    <row r="931" spans="8:8" ht="15.75" customHeight="1"/>
    <row r="932" spans="8:8" ht="15.75" customHeight="1"/>
    <row r="933" spans="8:8" ht="15.75" customHeight="1"/>
    <row r="934" spans="8:8" ht="15.75" customHeight="1"/>
    <row r="935" spans="8:8" ht="15.75" customHeight="1"/>
    <row r="936" spans="8:8" ht="15.75" customHeight="1"/>
    <row r="937" spans="8:8" ht="15.75" customHeight="1"/>
    <row r="938" spans="8:8" ht="15.75" customHeight="1"/>
    <row r="939" spans="8:8" ht="15.75" customHeight="1"/>
    <row r="940" spans="8:8" ht="15.75" customHeight="1"/>
    <row r="941" spans="8:8" ht="15.75" customHeight="1"/>
    <row r="942" spans="8:8" ht="15.75" customHeight="1"/>
    <row r="943" spans="8:8" ht="15.75" customHeight="1"/>
    <row r="944" spans="8:8" ht="15.75" customHeight="1"/>
    <row r="945" spans="8:8" ht="15.75" customHeight="1"/>
    <row r="946" spans="8:8" ht="15.75" customHeight="1"/>
    <row r="947" spans="8:8" ht="15.75" customHeight="1"/>
    <row r="948" spans="8:8" ht="15.75" customHeight="1"/>
    <row r="949" spans="8:8" ht="15.75" customHeight="1"/>
    <row r="950" spans="8:8" ht="15.75" customHeight="1"/>
    <row r="951" spans="8:8" ht="15.75" customHeight="1"/>
    <row r="952" spans="8:8" ht="15.75" customHeight="1"/>
    <row r="953" spans="8:8" ht="15.75" customHeight="1"/>
    <row r="954" spans="8:8" ht="15.75" customHeight="1"/>
    <row r="955" spans="8:8" ht="15.75" customHeight="1"/>
    <row r="956" spans="8:8" ht="15.75" customHeight="1"/>
    <row r="957" spans="8:8" ht="15.75" customHeight="1"/>
    <row r="958" spans="8:8" ht="15.75" customHeight="1"/>
    <row r="959" spans="8:8" ht="15.75" customHeight="1"/>
    <row r="960" spans="8:8" ht="15.75" customHeight="1"/>
    <row r="961" spans="8:8" ht="15.75" customHeight="1"/>
    <row r="962" spans="8:8" ht="15.75" customHeight="1"/>
    <row r="963" spans="8:8" ht="15.75" customHeight="1"/>
    <row r="964" spans="8:8" ht="15.75" customHeight="1"/>
    <row r="965" spans="8:8" ht="15.75" customHeight="1"/>
    <row r="966" spans="8:8" ht="15.75" customHeight="1"/>
    <row r="967" spans="8:8" ht="15.75" customHeight="1"/>
    <row r="968" spans="8:8" ht="15.75" customHeight="1"/>
    <row r="969" spans="8:8" ht="15.75" customHeight="1"/>
    <row r="970" spans="8:8" ht="15.75" customHeight="1"/>
    <row r="971" spans="8:8" ht="15.75" customHeight="1"/>
    <row r="972" spans="8:8" ht="15.75" customHeight="1"/>
    <row r="973" spans="8:8" ht="15.75" customHeight="1"/>
    <row r="974" spans="8:8" ht="15.75" customHeight="1"/>
    <row r="975" spans="8:8" ht="15.75" customHeight="1"/>
  </sheetData>
  <mergeCells count="53">
    <mergeCell ref="C3:L3"/>
    <mergeCell ref="C4:L4"/>
    <mergeCell ref="F7:H7"/>
    <mergeCell ref="K7:L7"/>
    <mergeCell ref="C5:L5"/>
    <mergeCell ref="D42:D44"/>
    <mergeCell ref="F28:H28"/>
    <mergeCell ref="D26:D28"/>
    <mergeCell ref="D8:D10"/>
    <mergeCell ref="F18:H18"/>
    <mergeCell ref="D17:D19"/>
    <mergeCell ref="F59:H59"/>
    <mergeCell ref="D39:D41"/>
    <mergeCell ref="F35:H35"/>
    <mergeCell ref="F31:H31"/>
    <mergeCell ref="D54:D56"/>
    <mergeCell ref="F37:H37"/>
    <mergeCell ref="D36:D38"/>
    <mergeCell ref="F55:H55"/>
    <mergeCell ref="F56:H56"/>
    <mergeCell ref="F24:H24"/>
    <mergeCell ref="D14:D16"/>
    <mergeCell ref="F9:H9"/>
    <mergeCell ref="D11:D13"/>
    <mergeCell ref="F25:H25"/>
    <mergeCell ref="F19:H19"/>
    <mergeCell ref="F15:H15"/>
    <mergeCell ref="F13:H13"/>
    <mergeCell ref="F21:H21"/>
    <mergeCell ref="F30:H30"/>
    <mergeCell ref="F43:H43"/>
    <mergeCell ref="D20:D22"/>
    <mergeCell ref="F10:H10"/>
    <mergeCell ref="F22:H22"/>
    <mergeCell ref="D23:D25"/>
    <mergeCell ref="F27:H27"/>
    <mergeCell ref="D33:D35"/>
    <mergeCell ref="F38:H38"/>
    <mergeCell ref="F46:H46"/>
    <mergeCell ref="F12:H12"/>
    <mergeCell ref="F44:H44"/>
    <mergeCell ref="D29:D31"/>
    <mergeCell ref="F34:H34"/>
    <mergeCell ref="D48:D50"/>
    <mergeCell ref="F53:H53"/>
    <mergeCell ref="D51:D53"/>
    <mergeCell ref="F40:H40"/>
    <mergeCell ref="F47:H47"/>
    <mergeCell ref="D45:D47"/>
    <mergeCell ref="F41:H41"/>
    <mergeCell ref="F52:H52"/>
    <mergeCell ref="F49:H49"/>
    <mergeCell ref="F50:H5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>
  <Application>Kingsoft Office</Application>
  <DocSecurity>0</DocSecurity>
  <ScaleCrop>0</ScaleCrop>
  <LinksUpToDate>0</LinksUpToDate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JOSE FELIPE MORILLO ENRIQUEZ</dc:creator>
  <cp:lastModifiedBy>Angélica Sofia Diaz Salamanca</cp:lastModifiedBy>
  <dcterms:created xsi:type="dcterms:W3CDTF">2026-05-06T03:53:48Z</dcterms:created>
  <dcterms:modified xsi:type="dcterms:W3CDTF">2026-05-11T15:54:27Z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5777bff5825e41b0961e9b6996b7d1ef</vt:lpwstr>
  </property>
</Properties>
</file>